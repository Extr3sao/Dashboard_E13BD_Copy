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encat.sharepoint.com/sites/EDUSICOORDINACIO_EAE/Espai_compartit_EaE/Documents compartits/Eliminació obsolets E13DB/"/>
    </mc:Choice>
  </mc:AlternateContent>
  <xr:revisionPtr revIDLastSave="832" documentId="8_{D6B44742-7228-43E7-924D-91E6AE92CEA6}" xr6:coauthVersionLast="47" xr6:coauthVersionMax="47" xr10:uidLastSave="{C94BCBB6-82E8-4779-9FFF-20718F1C941F}"/>
  <bookViews>
    <workbookView xWindow="-110" yWindow="-110" windowWidth="19420" windowHeight="10420" firstSheet="1" activeTab="1" xr2:uid="{4F76E9BA-DCD0-4972-97BD-BA74B129A9B0}"/>
  </bookViews>
  <sheets>
    <sheet name="Resum" sheetId="5" r:id="rId1"/>
    <sheet name="Espai x esquema" sheetId="2" r:id="rId2"/>
    <sheet name="Hoja1" sheetId="6" r:id="rId3"/>
    <sheet name="Espai x taules" sheetId="3" r:id="rId4"/>
  </sheets>
  <definedNames>
    <definedName name="DadesExternes_2" localSheetId="3" hidden="1">'Espai x taules'!$A$1:$C$516</definedName>
  </definedNames>
  <calcPr calcId="191028"/>
  <pivotCaches>
    <pivotCache cacheId="2029" r:id="rId5"/>
    <pivotCache cacheId="203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 a="1"/>
  <c r="K3" i="3" s="1"/>
  <c r="K4" i="3" a="1"/>
  <c r="K4" i="3" s="1"/>
  <c r="K5" i="3" a="1"/>
  <c r="K5" i="3" s="1"/>
  <c r="K6" i="3" a="1"/>
  <c r="K6" i="3" s="1"/>
  <c r="K7" i="3" a="1"/>
  <c r="K7" i="3" s="1"/>
  <c r="K8" i="3" a="1"/>
  <c r="K8" i="3" s="1"/>
  <c r="K9" i="3" a="1"/>
  <c r="K9" i="3" s="1"/>
  <c r="K10" i="3" a="1"/>
  <c r="K10" i="3" s="1"/>
  <c r="K11" i="3" a="1"/>
  <c r="K11" i="3" s="1"/>
  <c r="K12" i="3" a="1"/>
  <c r="K12" i="3" s="1"/>
  <c r="K13" i="3" a="1"/>
  <c r="K13" i="3"/>
  <c r="K14" i="3" a="1"/>
  <c r="K14" i="3" s="1"/>
  <c r="K15" i="3" a="1"/>
  <c r="K15" i="3" s="1"/>
  <c r="K16" i="3" a="1"/>
  <c r="K16" i="3" s="1"/>
  <c r="K17" i="3" a="1"/>
  <c r="K17" i="3" s="1"/>
  <c r="K18" i="3" a="1"/>
  <c r="K18" i="3" s="1"/>
  <c r="K19" i="3" a="1"/>
  <c r="K19" i="3"/>
  <c r="K20" i="3" a="1"/>
  <c r="K20" i="3" s="1"/>
  <c r="K21" i="3" a="1"/>
  <c r="K21" i="3" s="1"/>
  <c r="K22" i="3" a="1"/>
  <c r="K22" i="3"/>
  <c r="K23" i="3" a="1"/>
  <c r="K23" i="3" s="1"/>
  <c r="K24" i="3" a="1"/>
  <c r="K24" i="3" s="1"/>
  <c r="K25" i="3" a="1"/>
  <c r="K25" i="3" s="1"/>
  <c r="K26" i="3" a="1"/>
  <c r="K26" i="3" s="1"/>
  <c r="K27" i="3" a="1"/>
  <c r="K27" i="3" s="1"/>
  <c r="K28" i="3" a="1"/>
  <c r="K28" i="3" s="1"/>
  <c r="K29" i="3" a="1"/>
  <c r="K29" i="3" s="1"/>
  <c r="K30" i="3" a="1"/>
  <c r="K30" i="3" s="1"/>
  <c r="K31" i="3" a="1"/>
  <c r="K31" i="3" s="1"/>
  <c r="K32" i="3" a="1"/>
  <c r="K32" i="3" s="1"/>
  <c r="K33" i="3" a="1"/>
  <c r="K33" i="3" s="1"/>
  <c r="K34" i="3" a="1"/>
  <c r="K34" i="3" s="1"/>
  <c r="K35" i="3" a="1"/>
  <c r="K35" i="3" s="1"/>
  <c r="K36" i="3" a="1"/>
  <c r="K36" i="3" s="1"/>
  <c r="K37" i="3" a="1"/>
  <c r="K37" i="3" s="1"/>
  <c r="K38" i="3" a="1"/>
  <c r="K38" i="3" s="1"/>
  <c r="K39" i="3" a="1"/>
  <c r="K39" i="3" s="1"/>
  <c r="K40" i="3" a="1"/>
  <c r="K40" i="3" s="1"/>
  <c r="K41" i="3" a="1"/>
  <c r="K41" i="3" s="1"/>
  <c r="K42" i="3" a="1"/>
  <c r="K42" i="3" s="1"/>
  <c r="K43" i="3" a="1"/>
  <c r="K43" i="3" s="1"/>
  <c r="K44" i="3" a="1"/>
  <c r="K44" i="3" s="1"/>
  <c r="K45" i="3" a="1"/>
  <c r="K45" i="3" s="1"/>
  <c r="K46" i="3" a="1"/>
  <c r="K46" i="3" s="1"/>
  <c r="K47" i="3" a="1"/>
  <c r="K47" i="3" s="1"/>
  <c r="K48" i="3" a="1"/>
  <c r="K48" i="3" s="1"/>
  <c r="K49" i="3" a="1"/>
  <c r="K49" i="3" s="1"/>
  <c r="K50" i="3" a="1"/>
  <c r="K50" i="3" s="1"/>
  <c r="K51" i="3" a="1"/>
  <c r="K51" i="3" s="1"/>
  <c r="K52" i="3" a="1"/>
  <c r="K52" i="3" s="1"/>
  <c r="K53" i="3" a="1"/>
  <c r="K53" i="3" s="1"/>
  <c r="K54" i="3" a="1"/>
  <c r="K54" i="3" s="1"/>
  <c r="K55" i="3" a="1"/>
  <c r="K55" i="3" s="1"/>
  <c r="K56" i="3" a="1"/>
  <c r="K56" i="3" s="1"/>
  <c r="K57" i="3" a="1"/>
  <c r="K57" i="3" s="1"/>
  <c r="K58" i="3" a="1"/>
  <c r="K58" i="3" s="1"/>
  <c r="K59" i="3" a="1"/>
  <c r="K59" i="3" s="1"/>
  <c r="K60" i="3" a="1"/>
  <c r="K60" i="3" s="1"/>
  <c r="K61" i="3" a="1"/>
  <c r="K61" i="3" s="1"/>
  <c r="K62" i="3" a="1"/>
  <c r="K62" i="3" s="1"/>
  <c r="K63" i="3" a="1"/>
  <c r="K63" i="3" s="1"/>
  <c r="K64" i="3" a="1"/>
  <c r="K64" i="3" s="1"/>
  <c r="K65" i="3" a="1"/>
  <c r="K65" i="3" s="1"/>
  <c r="K66" i="3" a="1"/>
  <c r="K66" i="3" s="1"/>
  <c r="K67" i="3" a="1"/>
  <c r="K67" i="3" s="1"/>
  <c r="K68" i="3" a="1"/>
  <c r="K68" i="3" s="1"/>
  <c r="K69" i="3" a="1"/>
  <c r="K69" i="3" s="1"/>
  <c r="K70" i="3" a="1"/>
  <c r="K70" i="3" s="1"/>
  <c r="K71" i="3" a="1"/>
  <c r="K71" i="3" s="1"/>
  <c r="K72" i="3" a="1"/>
  <c r="K72" i="3" s="1"/>
  <c r="K73" i="3" a="1"/>
  <c r="K73" i="3" s="1"/>
  <c r="K74" i="3" a="1"/>
  <c r="K74" i="3" s="1"/>
  <c r="K75" i="3" a="1"/>
  <c r="K75" i="3" s="1"/>
  <c r="K76" i="3" a="1"/>
  <c r="K76" i="3" s="1"/>
  <c r="K77" i="3" a="1"/>
  <c r="K77" i="3" s="1"/>
  <c r="K78" i="3" a="1"/>
  <c r="K78" i="3" s="1"/>
  <c r="K79" i="3" a="1"/>
  <c r="K79" i="3" s="1"/>
  <c r="K80" i="3" a="1"/>
  <c r="K80" i="3" s="1"/>
  <c r="K81" i="3" a="1"/>
  <c r="K81" i="3" s="1"/>
  <c r="K82" i="3" a="1"/>
  <c r="K82" i="3" s="1"/>
  <c r="K83" i="3" a="1"/>
  <c r="K83" i="3" s="1"/>
  <c r="K84" i="3" a="1"/>
  <c r="K84" i="3" s="1"/>
  <c r="K85" i="3" a="1"/>
  <c r="K85" i="3" s="1"/>
  <c r="K86" i="3" a="1"/>
  <c r="K86" i="3" s="1"/>
  <c r="K87" i="3" a="1"/>
  <c r="K87" i="3" s="1"/>
  <c r="K88" i="3" a="1"/>
  <c r="K88" i="3" s="1"/>
  <c r="K89" i="3" a="1"/>
  <c r="K89" i="3" s="1"/>
  <c r="K90" i="3" a="1"/>
  <c r="K90" i="3" s="1"/>
  <c r="K91" i="3" a="1"/>
  <c r="K91" i="3" s="1"/>
  <c r="K92" i="3" a="1"/>
  <c r="K92" i="3" s="1"/>
  <c r="K93" i="3" a="1"/>
  <c r="K93" i="3" s="1"/>
  <c r="K94" i="3" a="1"/>
  <c r="K94" i="3" s="1"/>
  <c r="K95" i="3" a="1"/>
  <c r="K95" i="3" s="1"/>
  <c r="K96" i="3" a="1"/>
  <c r="K96" i="3" s="1"/>
  <c r="K97" i="3" a="1"/>
  <c r="K97" i="3" s="1"/>
  <c r="K98" i="3" a="1"/>
  <c r="K98" i="3" s="1"/>
  <c r="K99" i="3" a="1"/>
  <c r="K99" i="3" s="1"/>
  <c r="K100" i="3" a="1"/>
  <c r="K100" i="3" s="1"/>
  <c r="K101" i="3" a="1"/>
  <c r="K101" i="3" s="1"/>
  <c r="K102" i="3" a="1"/>
  <c r="K102" i="3" s="1"/>
  <c r="K103" i="3" a="1"/>
  <c r="K103" i="3" s="1"/>
  <c r="K104" i="3" a="1"/>
  <c r="K104" i="3" s="1"/>
  <c r="K105" i="3" a="1"/>
  <c r="K105" i="3" s="1"/>
  <c r="K106" i="3" a="1"/>
  <c r="K106" i="3" s="1"/>
  <c r="K107" i="3" a="1"/>
  <c r="K107" i="3" s="1"/>
  <c r="K108" i="3" a="1"/>
  <c r="K108" i="3" s="1"/>
  <c r="K109" i="3" a="1"/>
  <c r="K109" i="3" s="1"/>
  <c r="K110" i="3" a="1"/>
  <c r="K110" i="3" s="1"/>
  <c r="K111" i="3" a="1"/>
  <c r="K111" i="3" s="1"/>
  <c r="K112" i="3" a="1"/>
  <c r="K112" i="3" s="1"/>
  <c r="K113" i="3" a="1"/>
  <c r="K113" i="3" s="1"/>
  <c r="K114" i="3" a="1"/>
  <c r="K114" i="3" s="1"/>
  <c r="K115" i="3" a="1"/>
  <c r="K115" i="3" s="1"/>
  <c r="K116" i="3" a="1"/>
  <c r="K116" i="3" s="1"/>
  <c r="K117" i="3" a="1"/>
  <c r="K117" i="3" s="1"/>
  <c r="K118" i="3" a="1"/>
  <c r="K118" i="3" s="1"/>
  <c r="K119" i="3" a="1"/>
  <c r="K119" i="3" s="1"/>
  <c r="K120" i="3" a="1"/>
  <c r="K120" i="3" s="1"/>
  <c r="K121" i="3" a="1"/>
  <c r="K121" i="3" s="1"/>
  <c r="K122" i="3" a="1"/>
  <c r="K122" i="3" s="1"/>
  <c r="K123" i="3" a="1"/>
  <c r="K123" i="3" s="1"/>
  <c r="K124" i="3" a="1"/>
  <c r="K124" i="3" s="1"/>
  <c r="K125" i="3" a="1"/>
  <c r="K125" i="3" s="1"/>
  <c r="K126" i="3" a="1"/>
  <c r="K126" i="3" s="1"/>
  <c r="K127" i="3" a="1"/>
  <c r="K127" i="3" s="1"/>
  <c r="K128" i="3" a="1"/>
  <c r="K128" i="3" s="1"/>
  <c r="K129" i="3" a="1"/>
  <c r="K129" i="3" s="1"/>
  <c r="K130" i="3" a="1"/>
  <c r="K130" i="3" s="1"/>
  <c r="K131" i="3" a="1"/>
  <c r="K131" i="3" s="1"/>
  <c r="K132" i="3" a="1"/>
  <c r="K132" i="3" s="1"/>
  <c r="K133" i="3" a="1"/>
  <c r="K133" i="3" s="1"/>
  <c r="K134" i="3" a="1"/>
  <c r="K134" i="3" s="1"/>
  <c r="K135" i="3" a="1"/>
  <c r="K135" i="3" s="1"/>
  <c r="K136" i="3" a="1"/>
  <c r="K136" i="3" s="1"/>
  <c r="K137" i="3" a="1"/>
  <c r="K137" i="3" s="1"/>
  <c r="K138" i="3" a="1"/>
  <c r="K138" i="3" s="1"/>
  <c r="K139" i="3" a="1"/>
  <c r="K139" i="3" s="1"/>
  <c r="K140" i="3" a="1"/>
  <c r="K140" i="3" s="1"/>
  <c r="K141" i="3" a="1"/>
  <c r="K141" i="3" s="1"/>
  <c r="K142" i="3" a="1"/>
  <c r="K142" i="3" s="1"/>
  <c r="K143" i="3" a="1"/>
  <c r="K143" i="3" s="1"/>
  <c r="K144" i="3" a="1"/>
  <c r="K144" i="3" s="1"/>
  <c r="K145" i="3" a="1"/>
  <c r="K145" i="3" s="1"/>
  <c r="K146" i="3" a="1"/>
  <c r="K146" i="3" s="1"/>
  <c r="K147" i="3" a="1"/>
  <c r="K147" i="3" s="1"/>
  <c r="K148" i="3" a="1"/>
  <c r="K148" i="3" s="1"/>
  <c r="K149" i="3" a="1"/>
  <c r="K149" i="3" s="1"/>
  <c r="K150" i="3" a="1"/>
  <c r="K150" i="3" s="1"/>
  <c r="K151" i="3" a="1"/>
  <c r="K151" i="3" s="1"/>
  <c r="K152" i="3" a="1"/>
  <c r="K152" i="3" s="1"/>
  <c r="K153" i="3" a="1"/>
  <c r="K153" i="3" s="1"/>
  <c r="K154" i="3" a="1"/>
  <c r="K154" i="3" s="1"/>
  <c r="K155" i="3" a="1"/>
  <c r="K155" i="3" s="1"/>
  <c r="K156" i="3" a="1"/>
  <c r="K156" i="3" s="1"/>
  <c r="K157" i="3" a="1"/>
  <c r="K157" i="3" s="1"/>
  <c r="K158" i="3" a="1"/>
  <c r="K158" i="3" s="1"/>
  <c r="K159" i="3" a="1"/>
  <c r="K159" i="3" s="1"/>
  <c r="K160" i="3" a="1"/>
  <c r="K160" i="3" s="1"/>
  <c r="K161" i="3" a="1"/>
  <c r="K161" i="3" s="1"/>
  <c r="K162" i="3" a="1"/>
  <c r="K162" i="3" s="1"/>
  <c r="K163" i="3" a="1"/>
  <c r="K163" i="3" s="1"/>
  <c r="K164" i="3" a="1"/>
  <c r="K164" i="3" s="1"/>
  <c r="K165" i="3" a="1"/>
  <c r="K165" i="3" s="1"/>
  <c r="K166" i="3" a="1"/>
  <c r="K166" i="3" s="1"/>
  <c r="K167" i="3" a="1"/>
  <c r="K167" i="3" s="1"/>
  <c r="K168" i="3" a="1"/>
  <c r="K168" i="3" s="1"/>
  <c r="K169" i="3" a="1"/>
  <c r="K169" i="3" s="1"/>
  <c r="K170" i="3" a="1"/>
  <c r="K170" i="3" s="1"/>
  <c r="K171" i="3" a="1"/>
  <c r="K171" i="3" s="1"/>
  <c r="K172" i="3" a="1"/>
  <c r="K172" i="3" s="1"/>
  <c r="K173" i="3" a="1"/>
  <c r="K173" i="3" s="1"/>
  <c r="K174" i="3" a="1"/>
  <c r="K174" i="3" s="1"/>
  <c r="K175" i="3" a="1"/>
  <c r="K175" i="3" s="1"/>
  <c r="K176" i="3" a="1"/>
  <c r="K176" i="3" s="1"/>
  <c r="K177" i="3" a="1"/>
  <c r="K177" i="3" s="1"/>
  <c r="K178" i="3" a="1"/>
  <c r="K178" i="3" s="1"/>
  <c r="K179" i="3" a="1"/>
  <c r="K179" i="3" s="1"/>
  <c r="K180" i="3" a="1"/>
  <c r="K180" i="3" s="1"/>
  <c r="K181" i="3" a="1"/>
  <c r="K181" i="3" s="1"/>
  <c r="K182" i="3" a="1"/>
  <c r="K182" i="3" s="1"/>
  <c r="K183" i="3" a="1"/>
  <c r="K183" i="3" s="1"/>
  <c r="K184" i="3" a="1"/>
  <c r="K184" i="3" s="1"/>
  <c r="K185" i="3" a="1"/>
  <c r="K185" i="3" s="1"/>
  <c r="K186" i="3" a="1"/>
  <c r="K186" i="3" s="1"/>
  <c r="K187" i="3" a="1"/>
  <c r="K187" i="3" s="1"/>
  <c r="K188" i="3" a="1"/>
  <c r="K188" i="3" s="1"/>
  <c r="K189" i="3" a="1"/>
  <c r="K189" i="3" s="1"/>
  <c r="K190" i="3" a="1"/>
  <c r="K190" i="3" s="1"/>
  <c r="K191" i="3" a="1"/>
  <c r="K191" i="3" s="1"/>
  <c r="K192" i="3" a="1"/>
  <c r="K192" i="3" s="1"/>
  <c r="K193" i="3" a="1"/>
  <c r="K193" i="3" s="1"/>
  <c r="K194" i="3" a="1"/>
  <c r="K194" i="3" s="1"/>
  <c r="K195" i="3" a="1"/>
  <c r="K195" i="3" s="1"/>
  <c r="K196" i="3" a="1"/>
  <c r="K196" i="3" s="1"/>
  <c r="K197" i="3" a="1"/>
  <c r="K197" i="3" s="1"/>
  <c r="K198" i="3" a="1"/>
  <c r="K198" i="3" s="1"/>
  <c r="K199" i="3" a="1"/>
  <c r="K199" i="3" s="1"/>
  <c r="K200" i="3" a="1"/>
  <c r="K200" i="3" s="1"/>
  <c r="K201" i="3" a="1"/>
  <c r="K201" i="3" s="1"/>
  <c r="K202" i="3" a="1"/>
  <c r="K202" i="3" s="1"/>
  <c r="K203" i="3" a="1"/>
  <c r="K203" i="3" s="1"/>
  <c r="K204" i="3" a="1"/>
  <c r="K204" i="3" s="1"/>
  <c r="K205" i="3" a="1"/>
  <c r="K205" i="3" s="1"/>
  <c r="K206" i="3" a="1"/>
  <c r="K206" i="3" s="1"/>
  <c r="K207" i="3" a="1"/>
  <c r="K207" i="3" s="1"/>
  <c r="K208" i="3" a="1"/>
  <c r="K208" i="3" s="1"/>
  <c r="K209" i="3" a="1"/>
  <c r="K209" i="3" s="1"/>
  <c r="K210" i="3" a="1"/>
  <c r="K210" i="3" s="1"/>
  <c r="K211" i="3" a="1"/>
  <c r="K211" i="3" s="1"/>
  <c r="K212" i="3" a="1"/>
  <c r="K212" i="3" s="1"/>
  <c r="K213" i="3" a="1"/>
  <c r="K213" i="3" s="1"/>
  <c r="K214" i="3" a="1"/>
  <c r="K214" i="3" s="1"/>
  <c r="K215" i="3" a="1"/>
  <c r="K215" i="3" s="1"/>
  <c r="K216" i="3" a="1"/>
  <c r="K216" i="3" s="1"/>
  <c r="K217" i="3" a="1"/>
  <c r="K217" i="3" s="1"/>
  <c r="K218" i="3" a="1"/>
  <c r="K218" i="3" s="1"/>
  <c r="K219" i="3" a="1"/>
  <c r="K219" i="3" s="1"/>
  <c r="K220" i="3" a="1"/>
  <c r="K220" i="3" s="1"/>
  <c r="K221" i="3" a="1"/>
  <c r="K221" i="3" s="1"/>
  <c r="K222" i="3" a="1"/>
  <c r="K222" i="3" s="1"/>
  <c r="K223" i="3" a="1"/>
  <c r="K223" i="3" s="1"/>
  <c r="K224" i="3" a="1"/>
  <c r="K224" i="3" s="1"/>
  <c r="K225" i="3" a="1"/>
  <c r="K225" i="3" s="1"/>
  <c r="K226" i="3" a="1"/>
  <c r="K226" i="3" s="1"/>
  <c r="K227" i="3" a="1"/>
  <c r="K227" i="3" s="1"/>
  <c r="K228" i="3" a="1"/>
  <c r="K228" i="3" s="1"/>
  <c r="K229" i="3" a="1"/>
  <c r="K229" i="3" s="1"/>
  <c r="K230" i="3" a="1"/>
  <c r="K230" i="3" s="1"/>
  <c r="K231" i="3" a="1"/>
  <c r="K231" i="3" s="1"/>
  <c r="K232" i="3" a="1"/>
  <c r="K232" i="3" s="1"/>
  <c r="K233" i="3" a="1"/>
  <c r="K233" i="3" s="1"/>
  <c r="K234" i="3" a="1"/>
  <c r="K234" i="3" s="1"/>
  <c r="K235" i="3" a="1"/>
  <c r="K235" i="3" s="1"/>
  <c r="K236" i="3" a="1"/>
  <c r="K236" i="3" s="1"/>
  <c r="K237" i="3" a="1"/>
  <c r="K237" i="3" s="1"/>
  <c r="K238" i="3" a="1"/>
  <c r="K238" i="3" s="1"/>
  <c r="K239" i="3" a="1"/>
  <c r="K239" i="3" s="1"/>
  <c r="K240" i="3" a="1"/>
  <c r="K240" i="3" s="1"/>
  <c r="K241" i="3" a="1"/>
  <c r="K241" i="3" s="1"/>
  <c r="K242" i="3" a="1"/>
  <c r="K242" i="3" s="1"/>
  <c r="K243" i="3" a="1"/>
  <c r="K243" i="3" s="1"/>
  <c r="K244" i="3" a="1"/>
  <c r="K244" i="3" s="1"/>
  <c r="K245" i="3" a="1"/>
  <c r="K245" i="3" s="1"/>
  <c r="K246" i="3" a="1"/>
  <c r="K246" i="3" s="1"/>
  <c r="K247" i="3" a="1"/>
  <c r="K247" i="3" s="1"/>
  <c r="K248" i="3" a="1"/>
  <c r="K248" i="3" s="1"/>
  <c r="K249" i="3" a="1"/>
  <c r="K249" i="3" s="1"/>
  <c r="K250" i="3" a="1"/>
  <c r="K250" i="3" s="1"/>
  <c r="K251" i="3" a="1"/>
  <c r="K251" i="3" s="1"/>
  <c r="K252" i="3" a="1"/>
  <c r="K252" i="3" s="1"/>
  <c r="K253" i="3" a="1"/>
  <c r="K253" i="3" s="1"/>
  <c r="K254" i="3" a="1"/>
  <c r="K254" i="3" s="1"/>
  <c r="K255" i="3" a="1"/>
  <c r="K255" i="3" s="1"/>
  <c r="K256" i="3" a="1"/>
  <c r="K256" i="3" s="1"/>
  <c r="K257" i="3" a="1"/>
  <c r="K257" i="3" s="1"/>
  <c r="K258" i="3" a="1"/>
  <c r="K258" i="3" s="1"/>
  <c r="K259" i="3" a="1"/>
  <c r="K259" i="3" s="1"/>
  <c r="K260" i="3" a="1"/>
  <c r="K260" i="3" s="1"/>
  <c r="K261" i="3" a="1"/>
  <c r="K261" i="3" s="1"/>
  <c r="K262" i="3" a="1"/>
  <c r="K262" i="3" s="1"/>
  <c r="K263" i="3" a="1"/>
  <c r="K263" i="3" s="1"/>
  <c r="K264" i="3" a="1"/>
  <c r="K264" i="3" s="1"/>
  <c r="K265" i="3" a="1"/>
  <c r="K265" i="3" s="1"/>
  <c r="K266" i="3" a="1"/>
  <c r="K266" i="3" s="1"/>
  <c r="K267" i="3" a="1"/>
  <c r="K267" i="3" s="1"/>
  <c r="K268" i="3" a="1"/>
  <c r="K268" i="3" s="1"/>
  <c r="K269" i="3" a="1"/>
  <c r="K269" i="3" s="1"/>
  <c r="K270" i="3" a="1"/>
  <c r="K270" i="3" s="1"/>
  <c r="K271" i="3" a="1"/>
  <c r="K271" i="3" s="1"/>
  <c r="K272" i="3" a="1"/>
  <c r="K272" i="3" s="1"/>
  <c r="K273" i="3" a="1"/>
  <c r="K273" i="3" s="1"/>
  <c r="K274" i="3" a="1"/>
  <c r="K274" i="3" s="1"/>
  <c r="K275" i="3" a="1"/>
  <c r="K275" i="3" s="1"/>
  <c r="K276" i="3" a="1"/>
  <c r="K276" i="3" s="1"/>
  <c r="K277" i="3" a="1"/>
  <c r="K277" i="3" s="1"/>
  <c r="K278" i="3" a="1"/>
  <c r="K278" i="3" s="1"/>
  <c r="K279" i="3" a="1"/>
  <c r="K279" i="3" s="1"/>
  <c r="K280" i="3" a="1"/>
  <c r="K280" i="3" s="1"/>
  <c r="K281" i="3" a="1"/>
  <c r="K281" i="3" s="1"/>
  <c r="K282" i="3" a="1"/>
  <c r="K282" i="3" s="1"/>
  <c r="K283" i="3" a="1"/>
  <c r="K283" i="3" s="1"/>
  <c r="K284" i="3" a="1"/>
  <c r="K284" i="3" s="1"/>
  <c r="K285" i="3" a="1"/>
  <c r="K285" i="3" s="1"/>
  <c r="K286" i="3" a="1"/>
  <c r="K286" i="3" s="1"/>
  <c r="K287" i="3" a="1"/>
  <c r="K287" i="3" s="1"/>
  <c r="K288" i="3" a="1"/>
  <c r="K288" i="3" s="1"/>
  <c r="K289" i="3" a="1"/>
  <c r="K289" i="3" s="1"/>
  <c r="K290" i="3" a="1"/>
  <c r="K290" i="3" s="1"/>
  <c r="K291" i="3" a="1"/>
  <c r="K291" i="3" s="1"/>
  <c r="K292" i="3" a="1"/>
  <c r="K292" i="3" s="1"/>
  <c r="K293" i="3" a="1"/>
  <c r="K293" i="3" s="1"/>
  <c r="K294" i="3" a="1"/>
  <c r="K294" i="3" s="1"/>
  <c r="K295" i="3" a="1"/>
  <c r="K295" i="3" s="1"/>
  <c r="K296" i="3" a="1"/>
  <c r="K296" i="3" s="1"/>
  <c r="K297" i="3" a="1"/>
  <c r="K297" i="3" s="1"/>
  <c r="K298" i="3" a="1"/>
  <c r="K298" i="3" s="1"/>
  <c r="K299" i="3" a="1"/>
  <c r="K299" i="3" s="1"/>
  <c r="K300" i="3" a="1"/>
  <c r="K300" i="3" s="1"/>
  <c r="K301" i="3" a="1"/>
  <c r="K301" i="3" s="1"/>
  <c r="K302" i="3" a="1"/>
  <c r="K302" i="3" s="1"/>
  <c r="K303" i="3" a="1"/>
  <c r="K303" i="3" s="1"/>
  <c r="K304" i="3" a="1"/>
  <c r="K304" i="3" s="1"/>
  <c r="K305" i="3" a="1"/>
  <c r="K305" i="3" s="1"/>
  <c r="K306" i="3" a="1"/>
  <c r="K306" i="3" s="1"/>
  <c r="K307" i="3" a="1"/>
  <c r="K307" i="3" s="1"/>
  <c r="K308" i="3" a="1"/>
  <c r="K308" i="3" s="1"/>
  <c r="K309" i="3" a="1"/>
  <c r="K309" i="3" s="1"/>
  <c r="K310" i="3" a="1"/>
  <c r="K310" i="3" s="1"/>
  <c r="K311" i="3" a="1"/>
  <c r="K311" i="3" s="1"/>
  <c r="K312" i="3" a="1"/>
  <c r="K312" i="3" s="1"/>
  <c r="K313" i="3" a="1"/>
  <c r="K313" i="3" s="1"/>
  <c r="K314" i="3" a="1"/>
  <c r="K314" i="3" s="1"/>
  <c r="K315" i="3" a="1"/>
  <c r="K315" i="3" s="1"/>
  <c r="K316" i="3" a="1"/>
  <c r="K316" i="3" s="1"/>
  <c r="K317" i="3" a="1"/>
  <c r="K317" i="3" s="1"/>
  <c r="K318" i="3" a="1"/>
  <c r="K318" i="3" s="1"/>
  <c r="K319" i="3" a="1"/>
  <c r="K319" i="3" s="1"/>
  <c r="K320" i="3" a="1"/>
  <c r="K320" i="3" s="1"/>
  <c r="K321" i="3" a="1"/>
  <c r="K321" i="3" s="1"/>
  <c r="K322" i="3" a="1"/>
  <c r="K322" i="3" s="1"/>
  <c r="K323" i="3" a="1"/>
  <c r="K323" i="3" s="1"/>
  <c r="K324" i="3" a="1"/>
  <c r="K324" i="3" s="1"/>
  <c r="K325" i="3" a="1"/>
  <c r="K325" i="3" s="1"/>
  <c r="K326" i="3" a="1"/>
  <c r="K326" i="3" s="1"/>
  <c r="K327" i="3" a="1"/>
  <c r="K327" i="3" s="1"/>
  <c r="K328" i="3" a="1"/>
  <c r="K328" i="3" s="1"/>
  <c r="K329" i="3" a="1"/>
  <c r="K329" i="3" s="1"/>
  <c r="K330" i="3" a="1"/>
  <c r="K330" i="3"/>
  <c r="K331" i="3" a="1"/>
  <c r="K331" i="3" s="1"/>
  <c r="K332" i="3" a="1"/>
  <c r="K332" i="3" s="1"/>
  <c r="K333" i="3" a="1"/>
  <c r="K333" i="3" s="1"/>
  <c r="K334" i="3" a="1"/>
  <c r="K334" i="3" s="1"/>
  <c r="K335" i="3" a="1"/>
  <c r="K335" i="3" s="1"/>
  <c r="K336" i="3" a="1"/>
  <c r="K336" i="3" s="1"/>
  <c r="K337" i="3" a="1"/>
  <c r="K337" i="3" s="1"/>
  <c r="K338" i="3" a="1"/>
  <c r="K338" i="3" s="1"/>
  <c r="K339" i="3" a="1"/>
  <c r="K339" i="3" s="1"/>
  <c r="K340" i="3" a="1"/>
  <c r="K340" i="3" s="1"/>
  <c r="K341" i="3" a="1"/>
  <c r="K341" i="3" s="1"/>
  <c r="K342" i="3" a="1"/>
  <c r="K342" i="3" s="1"/>
  <c r="K343" i="3" a="1"/>
  <c r="K343" i="3" s="1"/>
  <c r="K344" i="3" a="1"/>
  <c r="K344" i="3" s="1"/>
  <c r="K345" i="3" a="1"/>
  <c r="K345" i="3" s="1"/>
  <c r="K346" i="3" a="1"/>
  <c r="K346" i="3" s="1"/>
  <c r="K347" i="3" a="1"/>
  <c r="K347" i="3" s="1"/>
  <c r="K348" i="3" a="1"/>
  <c r="K348" i="3" s="1"/>
  <c r="K349" i="3" a="1"/>
  <c r="K349" i="3" s="1"/>
  <c r="K350" i="3" a="1"/>
  <c r="K350" i="3" s="1"/>
  <c r="K351" i="3" a="1"/>
  <c r="K351" i="3" s="1"/>
  <c r="K352" i="3" a="1"/>
  <c r="K352" i="3" s="1"/>
  <c r="K353" i="3" a="1"/>
  <c r="K353" i="3" s="1"/>
  <c r="K354" i="3" a="1"/>
  <c r="K354" i="3" s="1"/>
  <c r="K355" i="3" a="1"/>
  <c r="K355" i="3" s="1"/>
  <c r="K356" i="3" a="1"/>
  <c r="K356" i="3" s="1"/>
  <c r="K357" i="3" a="1"/>
  <c r="K357" i="3" s="1"/>
  <c r="K358" i="3" a="1"/>
  <c r="K358" i="3" s="1"/>
  <c r="K359" i="3" a="1"/>
  <c r="K359" i="3" s="1"/>
  <c r="K360" i="3" a="1"/>
  <c r="K360" i="3" s="1"/>
  <c r="K361" i="3" a="1"/>
  <c r="K361" i="3" s="1"/>
  <c r="K362" i="3" a="1"/>
  <c r="K362" i="3" s="1"/>
  <c r="K363" i="3" a="1"/>
  <c r="K363" i="3" s="1"/>
  <c r="K364" i="3" a="1"/>
  <c r="K364" i="3" s="1"/>
  <c r="K365" i="3" a="1"/>
  <c r="K365" i="3" s="1"/>
  <c r="K366" i="3" a="1"/>
  <c r="K366" i="3" s="1"/>
  <c r="K367" i="3" a="1"/>
  <c r="K367" i="3" s="1"/>
  <c r="K368" i="3" a="1"/>
  <c r="K368" i="3" s="1"/>
  <c r="K369" i="3" a="1"/>
  <c r="K369" i="3" s="1"/>
  <c r="K370" i="3" a="1"/>
  <c r="K370" i="3" s="1"/>
  <c r="K371" i="3" a="1"/>
  <c r="K371" i="3" s="1"/>
  <c r="K372" i="3" a="1"/>
  <c r="K372" i="3" s="1"/>
  <c r="K373" i="3" a="1"/>
  <c r="K373" i="3" s="1"/>
  <c r="K374" i="3" a="1"/>
  <c r="K374" i="3" s="1"/>
  <c r="K375" i="3" a="1"/>
  <c r="K375" i="3" s="1"/>
  <c r="K376" i="3" a="1"/>
  <c r="K376" i="3" s="1"/>
  <c r="K377" i="3" a="1"/>
  <c r="K377" i="3" s="1"/>
  <c r="K378" i="3" a="1"/>
  <c r="K378" i="3" s="1"/>
  <c r="K379" i="3" a="1"/>
  <c r="K379" i="3" s="1"/>
  <c r="K380" i="3" a="1"/>
  <c r="K380" i="3" s="1"/>
  <c r="K381" i="3" a="1"/>
  <c r="K381" i="3" s="1"/>
  <c r="K382" i="3" a="1"/>
  <c r="K382" i="3" s="1"/>
  <c r="K383" i="3" a="1"/>
  <c r="K383" i="3" s="1"/>
  <c r="K384" i="3" a="1"/>
  <c r="K384" i="3" s="1"/>
  <c r="K385" i="3" a="1"/>
  <c r="K385" i="3" s="1"/>
  <c r="K386" i="3" a="1"/>
  <c r="K386" i="3" s="1"/>
  <c r="K387" i="3" a="1"/>
  <c r="K387" i="3" s="1"/>
  <c r="K388" i="3" a="1"/>
  <c r="K388" i="3" s="1"/>
  <c r="K389" i="3" a="1"/>
  <c r="K389" i="3" s="1"/>
  <c r="K390" i="3" a="1"/>
  <c r="K390" i="3" s="1"/>
  <c r="K391" i="3" a="1"/>
  <c r="K391" i="3" s="1"/>
  <c r="K392" i="3" a="1"/>
  <c r="K392" i="3" s="1"/>
  <c r="K393" i="3" a="1"/>
  <c r="K393" i="3" s="1"/>
  <c r="K394" i="3" a="1"/>
  <c r="K394" i="3" s="1"/>
  <c r="K395" i="3" a="1"/>
  <c r="K395" i="3" s="1"/>
  <c r="K396" i="3" a="1"/>
  <c r="K396" i="3" s="1"/>
  <c r="K397" i="3" a="1"/>
  <c r="K397" i="3" s="1"/>
  <c r="K398" i="3" a="1"/>
  <c r="K398" i="3" s="1"/>
  <c r="K399" i="3" a="1"/>
  <c r="K399" i="3" s="1"/>
  <c r="K400" i="3" a="1"/>
  <c r="K400" i="3" s="1"/>
  <c r="K401" i="3" a="1"/>
  <c r="K401" i="3" s="1"/>
  <c r="K402" i="3" a="1"/>
  <c r="K402" i="3" s="1"/>
  <c r="K403" i="3" a="1"/>
  <c r="K403" i="3" s="1"/>
  <c r="K404" i="3" a="1"/>
  <c r="K404" i="3" s="1"/>
  <c r="K405" i="3" a="1"/>
  <c r="K405" i="3" s="1"/>
  <c r="K406" i="3" a="1"/>
  <c r="K406" i="3" s="1"/>
  <c r="K407" i="3" a="1"/>
  <c r="K407" i="3" s="1"/>
  <c r="K408" i="3" a="1"/>
  <c r="K408" i="3" s="1"/>
  <c r="K409" i="3" a="1"/>
  <c r="K409" i="3" s="1"/>
  <c r="K410" i="3" a="1"/>
  <c r="K410" i="3" s="1"/>
  <c r="K411" i="3" a="1"/>
  <c r="K411" i="3" s="1"/>
  <c r="K412" i="3" a="1"/>
  <c r="K412" i="3" s="1"/>
  <c r="K413" i="3" a="1"/>
  <c r="K413" i="3" s="1"/>
  <c r="K414" i="3" a="1"/>
  <c r="K414" i="3" s="1"/>
  <c r="K415" i="3" a="1"/>
  <c r="K415" i="3" s="1"/>
  <c r="K416" i="3" a="1"/>
  <c r="K416" i="3" s="1"/>
  <c r="K417" i="3" a="1"/>
  <c r="K417" i="3" s="1"/>
  <c r="K418" i="3" a="1"/>
  <c r="K418" i="3" s="1"/>
  <c r="K419" i="3" a="1"/>
  <c r="K419" i="3" s="1"/>
  <c r="K420" i="3" a="1"/>
  <c r="K420" i="3" s="1"/>
  <c r="K421" i="3" a="1"/>
  <c r="K421" i="3" s="1"/>
  <c r="K422" i="3" a="1"/>
  <c r="K422" i="3" s="1"/>
  <c r="K423" i="3" a="1"/>
  <c r="K423" i="3" s="1"/>
  <c r="K424" i="3" a="1"/>
  <c r="K424" i="3" s="1"/>
  <c r="K425" i="3" a="1"/>
  <c r="K425" i="3" s="1"/>
  <c r="K426" i="3" a="1"/>
  <c r="K426" i="3" s="1"/>
  <c r="K427" i="3" a="1"/>
  <c r="K427" i="3" s="1"/>
  <c r="K428" i="3" a="1"/>
  <c r="K428" i="3" s="1"/>
  <c r="K429" i="3" a="1"/>
  <c r="K429" i="3" s="1"/>
  <c r="K430" i="3" a="1"/>
  <c r="K430" i="3" s="1"/>
  <c r="K431" i="3" a="1"/>
  <c r="K431" i="3" s="1"/>
  <c r="K432" i="3" a="1"/>
  <c r="K432" i="3" s="1"/>
  <c r="K433" i="3" a="1"/>
  <c r="K433" i="3" s="1"/>
  <c r="K434" i="3" a="1"/>
  <c r="K434" i="3" s="1"/>
  <c r="K435" i="3" a="1"/>
  <c r="K435" i="3" s="1"/>
  <c r="K436" i="3" a="1"/>
  <c r="K436" i="3" s="1"/>
  <c r="K437" i="3" a="1"/>
  <c r="K437" i="3" s="1"/>
  <c r="K438" i="3" a="1"/>
  <c r="K438" i="3" s="1"/>
  <c r="K439" i="3" a="1"/>
  <c r="K439" i="3" s="1"/>
  <c r="K440" i="3" a="1"/>
  <c r="K440" i="3" s="1"/>
  <c r="K441" i="3" a="1"/>
  <c r="K441" i="3" s="1"/>
  <c r="K442" i="3" a="1"/>
  <c r="K442" i="3" s="1"/>
  <c r="K443" i="3" a="1"/>
  <c r="K443" i="3" s="1"/>
  <c r="K444" i="3" a="1"/>
  <c r="K444" i="3" s="1"/>
  <c r="K445" i="3" a="1"/>
  <c r="K445" i="3" s="1"/>
  <c r="K446" i="3" a="1"/>
  <c r="K446" i="3" s="1"/>
  <c r="K447" i="3" a="1"/>
  <c r="K447" i="3" s="1"/>
  <c r="K448" i="3" a="1"/>
  <c r="K448" i="3" s="1"/>
  <c r="K449" i="3" a="1"/>
  <c r="K449" i="3" s="1"/>
  <c r="K450" i="3" a="1"/>
  <c r="K450" i="3" s="1"/>
  <c r="K451" i="3" a="1"/>
  <c r="K451" i="3" s="1"/>
  <c r="K452" i="3" a="1"/>
  <c r="K452" i="3" s="1"/>
  <c r="K453" i="3" a="1"/>
  <c r="K453" i="3" s="1"/>
  <c r="K454" i="3" a="1"/>
  <c r="K454" i="3" s="1"/>
  <c r="K455" i="3" a="1"/>
  <c r="K455" i="3" s="1"/>
  <c r="K456" i="3" a="1"/>
  <c r="K456" i="3" s="1"/>
  <c r="K457" i="3" a="1"/>
  <c r="K457" i="3" s="1"/>
  <c r="K458" i="3" a="1"/>
  <c r="K458" i="3" s="1"/>
  <c r="K459" i="3" a="1"/>
  <c r="K459" i="3" s="1"/>
  <c r="K460" i="3" a="1"/>
  <c r="K460" i="3" s="1"/>
  <c r="K461" i="3" a="1"/>
  <c r="K461" i="3" s="1"/>
  <c r="K462" i="3" a="1"/>
  <c r="K462" i="3" s="1"/>
  <c r="K463" i="3" a="1"/>
  <c r="K463" i="3" s="1"/>
  <c r="K464" i="3" a="1"/>
  <c r="K464" i="3" s="1"/>
  <c r="K465" i="3" a="1"/>
  <c r="K465" i="3" s="1"/>
  <c r="K466" i="3" a="1"/>
  <c r="K466" i="3" s="1"/>
  <c r="K467" i="3" a="1"/>
  <c r="K467" i="3" s="1"/>
  <c r="K468" i="3" a="1"/>
  <c r="K468" i="3" s="1"/>
  <c r="K469" i="3" a="1"/>
  <c r="K469" i="3" s="1"/>
  <c r="K470" i="3" a="1"/>
  <c r="K470" i="3" s="1"/>
  <c r="K471" i="3" a="1"/>
  <c r="K471" i="3" s="1"/>
  <c r="K472" i="3" a="1"/>
  <c r="K472" i="3" s="1"/>
  <c r="K473" i="3" a="1"/>
  <c r="K473" i="3" s="1"/>
  <c r="K474" i="3" a="1"/>
  <c r="K474" i="3" s="1"/>
  <c r="K475" i="3" a="1"/>
  <c r="K475" i="3" s="1"/>
  <c r="K476" i="3" a="1"/>
  <c r="K476" i="3" s="1"/>
  <c r="K477" i="3" a="1"/>
  <c r="K477" i="3" s="1"/>
  <c r="K478" i="3" a="1"/>
  <c r="K478" i="3" s="1"/>
  <c r="K479" i="3" a="1"/>
  <c r="K479" i="3" s="1"/>
  <c r="K480" i="3" a="1"/>
  <c r="K480" i="3"/>
  <c r="K481" i="3" a="1"/>
  <c r="K481" i="3" s="1"/>
  <c r="K482" i="3" a="1"/>
  <c r="K482" i="3" s="1"/>
  <c r="K483" i="3" a="1"/>
  <c r="K483" i="3" s="1"/>
  <c r="K484" i="3" a="1"/>
  <c r="K484" i="3" s="1"/>
  <c r="K485" i="3" a="1"/>
  <c r="K485" i="3" s="1"/>
  <c r="K486" i="3" a="1"/>
  <c r="K486" i="3" s="1"/>
  <c r="K487" i="3" a="1"/>
  <c r="K487" i="3" s="1"/>
  <c r="K488" i="3" a="1"/>
  <c r="K488" i="3" s="1"/>
  <c r="K489" i="3" a="1"/>
  <c r="K489" i="3" s="1"/>
  <c r="K490" i="3" a="1"/>
  <c r="K490" i="3" s="1"/>
  <c r="K491" i="3" a="1"/>
  <c r="K491" i="3" s="1"/>
  <c r="K492" i="3" a="1"/>
  <c r="K492" i="3" s="1"/>
  <c r="K493" i="3" a="1"/>
  <c r="K493" i="3" s="1"/>
  <c r="K494" i="3" a="1"/>
  <c r="K494" i="3" s="1"/>
  <c r="K495" i="3" a="1"/>
  <c r="K495" i="3" s="1"/>
  <c r="K496" i="3" a="1"/>
  <c r="K496" i="3" s="1"/>
  <c r="K497" i="3" a="1"/>
  <c r="K497" i="3" s="1"/>
  <c r="K498" i="3" a="1"/>
  <c r="K498" i="3" s="1"/>
  <c r="K499" i="3" a="1"/>
  <c r="K499" i="3" s="1"/>
  <c r="K500" i="3" a="1"/>
  <c r="K500" i="3" s="1"/>
  <c r="K501" i="3" a="1"/>
  <c r="K501" i="3" s="1"/>
  <c r="K502" i="3" a="1"/>
  <c r="K502" i="3" s="1"/>
  <c r="K503" i="3" a="1"/>
  <c r="K503" i="3" s="1"/>
  <c r="K504" i="3" a="1"/>
  <c r="K504" i="3" s="1"/>
  <c r="K505" i="3" a="1"/>
  <c r="K505" i="3" s="1"/>
  <c r="K506" i="3" a="1"/>
  <c r="K506" i="3" s="1"/>
  <c r="K507" i="3" a="1"/>
  <c r="K507" i="3" s="1"/>
  <c r="K508" i="3" a="1"/>
  <c r="K508" i="3" s="1"/>
  <c r="K509" i="3" a="1"/>
  <c r="K509" i="3" s="1"/>
  <c r="K510" i="3" a="1"/>
  <c r="K510" i="3" s="1"/>
  <c r="K511" i="3" a="1"/>
  <c r="K511" i="3" s="1"/>
  <c r="K512" i="3" a="1"/>
  <c r="K512" i="3" s="1"/>
  <c r="K513" i="3" a="1"/>
  <c r="K513" i="3" s="1"/>
  <c r="K514" i="3" a="1"/>
  <c r="K514" i="3" s="1"/>
  <c r="K515" i="3" a="1"/>
  <c r="K515" i="3" s="1"/>
  <c r="K516" i="3" a="1"/>
  <c r="K516" i="3" s="1"/>
  <c r="K2" i="3" a="1"/>
  <c r="K2" i="3" s="1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" i="6"/>
  <c r="D257" i="2"/>
  <c r="D513" i="3"/>
  <c r="D512" i="3"/>
  <c r="D510" i="3"/>
  <c r="D511" i="3"/>
  <c r="D509" i="3"/>
  <c r="D516" i="3"/>
  <c r="D508" i="3"/>
  <c r="D507" i="3"/>
  <c r="D506" i="3"/>
  <c r="D505" i="3"/>
  <c r="D504" i="3"/>
  <c r="D503" i="3"/>
  <c r="D515" i="3"/>
  <c r="D514" i="3"/>
  <c r="D502" i="3"/>
  <c r="D500" i="3"/>
  <c r="D501" i="3"/>
  <c r="D488" i="3"/>
  <c r="D487" i="3"/>
  <c r="D486" i="3"/>
  <c r="D485" i="3"/>
  <c r="D484" i="3"/>
  <c r="D481" i="3"/>
  <c r="D482" i="3"/>
  <c r="D483" i="3"/>
  <c r="D469" i="3"/>
  <c r="D472" i="3"/>
  <c r="D470" i="3"/>
  <c r="D468" i="3"/>
  <c r="D467" i="3"/>
  <c r="D466" i="3"/>
  <c r="D465" i="3"/>
  <c r="D471" i="3"/>
  <c r="D464" i="3"/>
  <c r="D463" i="3"/>
  <c r="D453" i="3"/>
  <c r="D451" i="3"/>
  <c r="D450" i="3"/>
  <c r="D449" i="3"/>
  <c r="D448" i="3"/>
  <c r="D447" i="3"/>
  <c r="D446" i="3"/>
  <c r="D445" i="3"/>
  <c r="D444" i="3"/>
  <c r="D443" i="3"/>
  <c r="D437" i="3"/>
  <c r="D436" i="3"/>
  <c r="D435" i="3"/>
  <c r="D434" i="3"/>
  <c r="D433" i="3"/>
  <c r="D432" i="3"/>
  <c r="D431" i="3"/>
  <c r="D424" i="3"/>
  <c r="D423" i="3"/>
  <c r="D422" i="3"/>
  <c r="D421" i="3"/>
  <c r="D420" i="3"/>
  <c r="D419" i="3"/>
  <c r="D410" i="3"/>
  <c r="D411" i="3"/>
  <c r="D409" i="3"/>
  <c r="D408" i="3"/>
  <c r="D407" i="3"/>
  <c r="D406" i="3"/>
  <c r="D405" i="3"/>
  <c r="D404" i="3"/>
  <c r="D403" i="3"/>
  <c r="D402" i="3"/>
  <c r="D397" i="3"/>
  <c r="D396" i="3"/>
  <c r="D395" i="3"/>
  <c r="D394" i="3"/>
  <c r="D386" i="3"/>
  <c r="D387" i="3"/>
  <c r="D385" i="3"/>
  <c r="D384" i="3"/>
  <c r="D388" i="3"/>
  <c r="D383" i="3"/>
  <c r="D376" i="3"/>
  <c r="D378" i="3"/>
  <c r="D375" i="3"/>
  <c r="D374" i="3"/>
  <c r="D373" i="3"/>
  <c r="D377" i="3"/>
  <c r="D372" i="3"/>
  <c r="D371" i="3"/>
  <c r="D370" i="3"/>
  <c r="D369" i="3"/>
  <c r="D368" i="3"/>
  <c r="D364" i="3"/>
  <c r="D363" i="3"/>
  <c r="D355" i="3"/>
  <c r="D354" i="3"/>
  <c r="D353" i="3"/>
  <c r="D352" i="3"/>
  <c r="D356" i="3"/>
  <c r="D351" i="3"/>
  <c r="D349" i="3"/>
  <c r="D348" i="3"/>
  <c r="D347" i="3"/>
  <c r="D346" i="3"/>
  <c r="D345" i="3"/>
  <c r="D344" i="3"/>
  <c r="D340" i="3"/>
  <c r="D339" i="3"/>
  <c r="D338" i="3"/>
  <c r="D341" i="3"/>
  <c r="D333" i="3"/>
  <c r="D332" i="3"/>
  <c r="D328" i="3"/>
  <c r="D329" i="3"/>
  <c r="D327" i="3"/>
  <c r="D331" i="3"/>
  <c r="D326" i="3"/>
  <c r="D325" i="3"/>
  <c r="D324" i="3"/>
  <c r="D323" i="3"/>
  <c r="D330" i="3"/>
  <c r="D322" i="3"/>
  <c r="D318" i="3"/>
  <c r="D317" i="3"/>
  <c r="D316" i="3"/>
  <c r="D315" i="3"/>
  <c r="D311" i="3"/>
  <c r="D304" i="3"/>
  <c r="D303" i="3"/>
  <c r="D302" i="3"/>
  <c r="D301" i="3"/>
  <c r="D300" i="3"/>
  <c r="D305" i="3"/>
  <c r="D297" i="3"/>
  <c r="D296" i="3"/>
  <c r="D295" i="3"/>
  <c r="D294" i="3"/>
  <c r="D293" i="3"/>
  <c r="D292" i="3"/>
  <c r="D291" i="3"/>
  <c r="D290" i="3"/>
  <c r="D289" i="3"/>
  <c r="D288" i="3"/>
  <c r="D285" i="3"/>
  <c r="D284" i="3"/>
  <c r="D283" i="3"/>
  <c r="D286" i="3"/>
  <c r="D282" i="3"/>
  <c r="D281" i="3"/>
  <c r="D278" i="3"/>
  <c r="D277" i="3"/>
  <c r="D276" i="3"/>
  <c r="D275" i="3"/>
  <c r="D274" i="3"/>
  <c r="D273" i="3"/>
  <c r="D272" i="3"/>
  <c r="D268" i="3"/>
  <c r="D267" i="3"/>
  <c r="D266" i="3"/>
  <c r="D263" i="3"/>
  <c r="D262" i="3"/>
  <c r="D261" i="3"/>
  <c r="D260" i="3"/>
  <c r="D257" i="3"/>
  <c r="D258" i="3"/>
  <c r="D256" i="3"/>
  <c r="D254" i="3"/>
  <c r="D255" i="3"/>
  <c r="D252" i="3"/>
  <c r="D251" i="3"/>
  <c r="D247" i="3"/>
  <c r="D246" i="3"/>
  <c r="D245" i="3"/>
  <c r="D244" i="3"/>
  <c r="D242" i="3"/>
  <c r="D243" i="3"/>
  <c r="D240" i="3"/>
  <c r="D239" i="3"/>
  <c r="D237" i="3"/>
  <c r="D234" i="3"/>
  <c r="D232" i="3"/>
  <c r="D231" i="3"/>
  <c r="D229" i="3"/>
  <c r="D226" i="3"/>
  <c r="D224" i="3"/>
  <c r="D223" i="3"/>
  <c r="D225" i="3"/>
  <c r="D220" i="3"/>
  <c r="D218" i="3"/>
  <c r="D215" i="3"/>
  <c r="D214" i="3"/>
  <c r="D213" i="3"/>
  <c r="D212" i="3"/>
  <c r="D210" i="3"/>
  <c r="D209" i="3"/>
  <c r="D207" i="3"/>
  <c r="D199" i="3"/>
  <c r="D196" i="3"/>
  <c r="D195" i="3"/>
  <c r="D193" i="3"/>
  <c r="D192" i="3"/>
  <c r="D191" i="3"/>
  <c r="D190" i="3"/>
  <c r="D188" i="3"/>
  <c r="D187" i="3"/>
  <c r="D186" i="3"/>
  <c r="D184" i="3"/>
  <c r="D183" i="3"/>
  <c r="D180" i="3"/>
  <c r="D179" i="3"/>
  <c r="D178" i="3"/>
  <c r="D177" i="3"/>
  <c r="D176" i="3"/>
  <c r="D175" i="3"/>
  <c r="D174" i="3"/>
  <c r="D173" i="3"/>
  <c r="D171" i="3"/>
  <c r="D170" i="3"/>
  <c r="D169" i="3"/>
  <c r="D168" i="3"/>
  <c r="D167" i="3"/>
  <c r="D165" i="3"/>
  <c r="D164" i="3"/>
  <c r="D160" i="3"/>
  <c r="D159" i="3"/>
  <c r="D158" i="3"/>
  <c r="D155" i="3"/>
  <c r="D154" i="3"/>
  <c r="D153" i="3"/>
  <c r="D152" i="3"/>
  <c r="D150" i="3"/>
  <c r="D149" i="3"/>
  <c r="D148" i="3"/>
  <c r="D147" i="3"/>
  <c r="D146" i="3"/>
  <c r="D145" i="3"/>
  <c r="D144" i="3"/>
  <c r="D142" i="3"/>
  <c r="D141" i="3"/>
  <c r="D140" i="3"/>
  <c r="D137" i="3"/>
  <c r="D139" i="3"/>
  <c r="D138" i="3"/>
  <c r="D136" i="3"/>
  <c r="D135" i="3"/>
  <c r="D133" i="3"/>
  <c r="D132" i="3"/>
  <c r="D131" i="3"/>
  <c r="D128" i="3"/>
  <c r="D126" i="3"/>
  <c r="D123" i="3"/>
  <c r="D122" i="3"/>
  <c r="D121" i="3"/>
  <c r="D118" i="3"/>
  <c r="D117" i="3"/>
  <c r="D116" i="3"/>
  <c r="D114" i="3"/>
  <c r="D111" i="3"/>
  <c r="D110" i="3"/>
  <c r="D107" i="3"/>
  <c r="D106" i="3"/>
  <c r="D105" i="3"/>
  <c r="D103" i="3"/>
  <c r="D102" i="3"/>
  <c r="D104" i="3"/>
  <c r="D97" i="3"/>
  <c r="D96" i="3"/>
  <c r="D94" i="3"/>
  <c r="D91" i="3"/>
  <c r="D90" i="3"/>
  <c r="D89" i="3"/>
  <c r="D88" i="3"/>
  <c r="D86" i="3"/>
  <c r="D83" i="3"/>
  <c r="D82" i="3"/>
  <c r="D81" i="3"/>
  <c r="D80" i="3"/>
  <c r="D79" i="3"/>
  <c r="D78" i="3"/>
  <c r="D77" i="3"/>
  <c r="D76" i="3"/>
  <c r="D75" i="3"/>
  <c r="D74" i="3"/>
  <c r="D73" i="3"/>
  <c r="D72" i="3"/>
  <c r="D70" i="3"/>
  <c r="D69" i="3"/>
  <c r="D67" i="3"/>
  <c r="D62" i="3"/>
  <c r="D61" i="3"/>
  <c r="D58" i="3"/>
  <c r="D56" i="3"/>
  <c r="D55" i="3"/>
  <c r="D54" i="3"/>
  <c r="D52" i="3"/>
  <c r="D51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4" i="3"/>
  <c r="D33" i="3"/>
  <c r="D32" i="3"/>
  <c r="D31" i="3"/>
  <c r="D30" i="3"/>
  <c r="D29" i="3"/>
  <c r="D28" i="3"/>
  <c r="D27" i="3"/>
  <c r="D26" i="3"/>
  <c r="D25" i="3"/>
  <c r="D24" i="3"/>
  <c r="D23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7" i="3"/>
  <c r="D6" i="3"/>
  <c r="D5" i="3"/>
  <c r="D4" i="3"/>
  <c r="D3" i="3"/>
  <c r="D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35478A-4880-4819-931C-4157A3CA9BE6}" keepAlive="1" name="Query - new 212 (3)" description="Connection to the 'new 212 (3)' query in the workbook." type="5" refreshedVersion="8" background="1" saveData="1">
    <dbPr connection="Provider=Microsoft.Mashup.OleDb.1;Data Source=$Workbook$;Location=&quot;new 212 (3)&quot;;Extended Properties=&quot;&quot;" command="SELECT * FROM [new 212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<sst xmlns="http://schemas.openxmlformats.org/spreadsheetml/2006/main" count="4286" uniqueCount="1020">
  <si>
    <t>Espai x esquema.</t>
  </si>
  <si>
    <t>Espai x Taules</t>
  </si>
  <si>
    <t>Es pot eliminar</t>
  </si>
  <si>
    <t>Suma de GB</t>
  </si>
  <si>
    <t>Suma de GBBytes</t>
  </si>
  <si>
    <t>??</t>
  </si>
  <si>
    <t>No</t>
  </si>
  <si>
    <t>Grup1</t>
  </si>
  <si>
    <t>Sí</t>
  </si>
  <si>
    <t>(en blanc)</t>
  </si>
  <si>
    <t>Sí, però</t>
  </si>
  <si>
    <t>Total general</t>
  </si>
  <si>
    <t>Es pot eliminar?</t>
  </si>
  <si>
    <t>(Múltiples elements)</t>
  </si>
  <si>
    <t>Etiquetes de fila</t>
  </si>
  <si>
    <t>Andrea Cánovas</t>
  </si>
  <si>
    <t xml:space="preserve">E13_AUP                            </t>
  </si>
  <si>
    <t xml:space="preserve">E13_IDA                        </t>
  </si>
  <si>
    <t xml:space="preserve">E13_BAG                            </t>
  </si>
  <si>
    <t xml:space="preserve">E13_PAV                            </t>
  </si>
  <si>
    <t xml:space="preserve">E13_A4S                        </t>
  </si>
  <si>
    <t xml:space="preserve">E13_PPQPIS                         </t>
  </si>
  <si>
    <t xml:space="preserve">E13_BAE                        </t>
  </si>
  <si>
    <t>Daniel Moreiras</t>
  </si>
  <si>
    <t xml:space="preserve">E13_GSA_ACR                    </t>
  </si>
  <si>
    <t xml:space="preserve">E13_PREMISCAT                      </t>
  </si>
  <si>
    <t xml:space="preserve">E13_OVT_PUBLI                  </t>
  </si>
  <si>
    <t xml:space="preserve">E13_RESERVA_SALES                  </t>
  </si>
  <si>
    <t xml:space="preserve">E13_PAV                        </t>
  </si>
  <si>
    <t xml:space="preserve">GEPSE                              </t>
  </si>
  <si>
    <t xml:space="preserve">E13_RALC                       </t>
  </si>
  <si>
    <t>Jordi Sala</t>
  </si>
  <si>
    <t xml:space="preserve">E13_RTA                        </t>
  </si>
  <si>
    <t xml:space="preserve">E13_ADPD                           </t>
  </si>
  <si>
    <t xml:space="preserve">E13_RTT                        </t>
  </si>
  <si>
    <t xml:space="preserve">E13_AJUTS                          </t>
  </si>
  <si>
    <t xml:space="preserve">E13_ASD                            </t>
  </si>
  <si>
    <t xml:space="preserve">E13_AWA                        </t>
  </si>
  <si>
    <t xml:space="preserve">E13_ASD_PUBLI                      </t>
  </si>
  <si>
    <t xml:space="preserve">E13_BOR_CMO                    </t>
  </si>
  <si>
    <t xml:space="preserve">E13_BAR                            </t>
  </si>
  <si>
    <t xml:space="preserve">E13_BOR2                       </t>
  </si>
  <si>
    <t xml:space="preserve">E13_BOR_CMO                        </t>
  </si>
  <si>
    <t xml:space="preserve">E13_OFERTA_BCK                 </t>
  </si>
  <si>
    <t xml:space="preserve">E13_BOR2                           </t>
  </si>
  <si>
    <t>Oscar Mendez</t>
  </si>
  <si>
    <t xml:space="preserve">E13_GSD_AJUTS                      </t>
  </si>
  <si>
    <t xml:space="preserve">E13_GSD_CAT_CON                    </t>
  </si>
  <si>
    <t xml:space="preserve">SAGA_CENTRAL                   </t>
  </si>
  <si>
    <t xml:space="preserve">E13_GSD_ESP                        </t>
  </si>
  <si>
    <t>Raquel Mestres</t>
  </si>
  <si>
    <t xml:space="preserve">E13_GSD_LLENGUES                   </t>
  </si>
  <si>
    <t xml:space="preserve">E13_MFLEX                      </t>
  </si>
  <si>
    <t xml:space="preserve">E13_GSD_LLICENCIES                 </t>
  </si>
  <si>
    <t xml:space="preserve">PERGAM2                        </t>
  </si>
  <si>
    <t xml:space="preserve">E13_GSD_LLICENCIES_D               </t>
  </si>
  <si>
    <t>Traspàs recent</t>
  </si>
  <si>
    <t xml:space="preserve">E13_GSD_OPO                        </t>
  </si>
  <si>
    <t xml:space="preserve">E13_CAT_PROF                   </t>
  </si>
  <si>
    <t xml:space="preserve">E13_LLENGUES                       </t>
  </si>
  <si>
    <t xml:space="preserve">E13_LLICENCIES                     </t>
  </si>
  <si>
    <t xml:space="preserve">E13_OFERTA_BCK                     </t>
  </si>
  <si>
    <t xml:space="preserve">E13_OPO                            </t>
  </si>
  <si>
    <t xml:space="preserve">E13_OPOSPAS                        </t>
  </si>
  <si>
    <t xml:space="preserve">E13_PUB_RESULTATS                  </t>
  </si>
  <si>
    <t xml:space="preserve">AM10_38136279W                     </t>
  </si>
  <si>
    <t xml:space="preserve">E13_APE_1011                       </t>
  </si>
  <si>
    <t xml:space="preserve">E13_APE_1112                       </t>
  </si>
  <si>
    <t xml:space="preserve">E13_APE_1213                       </t>
  </si>
  <si>
    <t xml:space="preserve">E13_CARTERA                        </t>
  </si>
  <si>
    <t xml:space="preserve">JMARQUE4                           </t>
  </si>
  <si>
    <t xml:space="preserve">E13_CAT_PROF                       </t>
  </si>
  <si>
    <t>Owner</t>
  </si>
  <si>
    <t>table</t>
  </si>
  <si>
    <t>MB</t>
  </si>
  <si>
    <t>GB</t>
  </si>
  <si>
    <t>Lot</t>
  </si>
  <si>
    <t>-</t>
  </si>
  <si>
    <t>Observacions</t>
  </si>
  <si>
    <t>Aplicació</t>
  </si>
  <si>
    <t>GS</t>
  </si>
  <si>
    <t>Estat</t>
  </si>
  <si>
    <t xml:space="preserve">AD                                 </t>
  </si>
  <si>
    <t>total_owner</t>
  </si>
  <si>
    <t>AM10</t>
  </si>
  <si>
    <t xml:space="preserve">ADMCTRL                            </t>
  </si>
  <si>
    <t xml:space="preserve">ADMINXTEC                          </t>
  </si>
  <si>
    <t xml:space="preserve">ADMXTEC                            </t>
  </si>
  <si>
    <t xml:space="preserve">FLOWS_FILES                        </t>
  </si>
  <si>
    <t>XMC:Identificar dependències, jobs, sh, ultim accés user, útimes operacions DML/DDL. Revocar permisos abans d'eliminar</t>
  </si>
  <si>
    <t xml:space="preserve">AIDA                               </t>
  </si>
  <si>
    <t xml:space="preserve">APEX_200200                        </t>
  </si>
  <si>
    <t>N/A</t>
  </si>
  <si>
    <t xml:space="preserve">APEX_SSO                           </t>
  </si>
  <si>
    <t xml:space="preserve">E13_GICARSM                        </t>
  </si>
  <si>
    <t xml:space="preserve">AUDSYS                             </t>
  </si>
  <si>
    <t>no</t>
  </si>
  <si>
    <t>XMC:Identificar dependències i continuar anàlisi</t>
  </si>
  <si>
    <t xml:space="preserve">AVA                                </t>
  </si>
  <si>
    <t>AVA</t>
  </si>
  <si>
    <t xml:space="preserve">BFGH_INT_LOCAL                     </t>
  </si>
  <si>
    <t>AM11</t>
  </si>
  <si>
    <t>Esquema que s'utilitza per connectar a DMA's, beques i per accés a dades del RALC d'ESFERA</t>
  </si>
  <si>
    <t xml:space="preserve">E13_ESPINA_BD                      </t>
  </si>
  <si>
    <t>XMC: Encara la fa servir DMA SAGA AM11</t>
  </si>
  <si>
    <t xml:space="preserve">CLIC                               </t>
  </si>
  <si>
    <t>XMC:Per què no? No es va migrar??</t>
  </si>
  <si>
    <t xml:space="preserve">DBSFWUSER                          </t>
  </si>
  <si>
    <t>No surt cap info</t>
  </si>
  <si>
    <t xml:space="preserve">VFS_NICE_264                       </t>
  </si>
  <si>
    <t xml:space="preserve">XT20_LIFERAY                       </t>
  </si>
  <si>
    <t xml:space="preserve">E13_A4S                            </t>
  </si>
  <si>
    <t xml:space="preserve">E13_A6P                            </t>
  </si>
  <si>
    <t xml:space="preserve">E13_AAC_PREINS                     </t>
  </si>
  <si>
    <t>Pendent decisió ATIC</t>
  </si>
  <si>
    <t xml:space="preserve">E13_ACO                            </t>
  </si>
  <si>
    <t>AM05</t>
  </si>
  <si>
    <t>Es podria historificar i treure d'E13BD, aplicació tancada i obsoleta</t>
  </si>
  <si>
    <t>ADPD</t>
  </si>
  <si>
    <t xml:space="preserve">E13_AFD                            </t>
  </si>
  <si>
    <t>DMM: Es troba de baixa a l'inventari d'app</t>
  </si>
  <si>
    <t>AFD</t>
  </si>
  <si>
    <t xml:space="preserve">E13_AGAI                           </t>
  </si>
  <si>
    <t xml:space="preserve">E13_AGD                            </t>
  </si>
  <si>
    <t xml:space="preserve">E13_AGIN                           </t>
  </si>
  <si>
    <t>AM15</t>
  </si>
  <si>
    <t>GSD_AJUTS</t>
  </si>
  <si>
    <t xml:space="preserve">SIGMA                              </t>
  </si>
  <si>
    <t xml:space="preserve">E13_APBLOE                         </t>
  </si>
  <si>
    <t>APBLOE</t>
  </si>
  <si>
    <t>Oscar Méndez</t>
  </si>
  <si>
    <t xml:space="preserve">E13_VAD_TSYSTEM                    </t>
  </si>
  <si>
    <t>Revisar 3.2 E13_AWA</t>
  </si>
  <si>
    <t xml:space="preserve">E13_APE                            </t>
  </si>
  <si>
    <t>Són unes campanyes antigues, es podrien historificar  i treure d'E13BD</t>
  </si>
  <si>
    <t>Són unes campanyes antigues, es podrien historificar</t>
  </si>
  <si>
    <t xml:space="preserve">E13_ASAELE                         </t>
  </si>
  <si>
    <t>No es pot borrar</t>
  </si>
  <si>
    <t>ASD</t>
  </si>
  <si>
    <t>ASD_PUBLI</t>
  </si>
  <si>
    <t xml:space="preserve">GGAA                               </t>
  </si>
  <si>
    <t>Cal confirmar amb gestor si es pot esborrar o cal historificar</t>
  </si>
  <si>
    <t>AUP</t>
  </si>
  <si>
    <t xml:space="preserve">E13_AWA                            </t>
  </si>
  <si>
    <t xml:space="preserve">E13_BAE                            </t>
  </si>
  <si>
    <t>JCN: Pendent decisió ATIC</t>
  </si>
  <si>
    <t xml:space="preserve">BAG </t>
  </si>
  <si>
    <t xml:space="preserve">E13_BAL_HST                        </t>
  </si>
  <si>
    <t>Hi ha la part de la convocatòria de catedràtics que es podria historificar. Caldria consensuar-ho amb els usuaris.</t>
  </si>
  <si>
    <t xml:space="preserve">BAR </t>
  </si>
  <si>
    <t xml:space="preserve">E13_INSITU                         </t>
  </si>
  <si>
    <t>Revisar privilegis i eliminar</t>
  </si>
  <si>
    <t xml:space="preserve">E13_BOR                            </t>
  </si>
  <si>
    <t>BOR</t>
  </si>
  <si>
    <t xml:space="preserve">E13_BORPAS                         </t>
  </si>
  <si>
    <t xml:space="preserve">E13_CAMPS                          </t>
  </si>
  <si>
    <t xml:space="preserve">E13_CAPCHA                         </t>
  </si>
  <si>
    <t xml:space="preserve">E13_CARNETDOCENT                   </t>
  </si>
  <si>
    <t>Es donarà de baixa</t>
  </si>
  <si>
    <t>AM07</t>
  </si>
  <si>
    <t>CATPROF</t>
  </si>
  <si>
    <t xml:space="preserve">E13_MBAE                           </t>
  </si>
  <si>
    <t>Revisat.Revisar 3.2 i es podria eliminar</t>
  </si>
  <si>
    <t xml:space="preserve">E13_CONVOVT                        </t>
  </si>
  <si>
    <t>Revisat.Comparteix dependencies 3.2 amb APEX_200200</t>
  </si>
  <si>
    <t xml:space="preserve">E13_CFP                            </t>
  </si>
  <si>
    <t xml:space="preserve">E13_CMD_GES                        </t>
  </si>
  <si>
    <t xml:space="preserve">E13_CMF                            </t>
  </si>
  <si>
    <t>CMF</t>
  </si>
  <si>
    <t xml:space="preserve">RESTAURA                           </t>
  </si>
  <si>
    <t xml:space="preserve">SIGMA2                             </t>
  </si>
  <si>
    <t xml:space="preserve">E13_JIRA                           </t>
  </si>
  <si>
    <t xml:space="preserve">EQCAS                              </t>
  </si>
  <si>
    <t xml:space="preserve">E13_CORALS                         </t>
  </si>
  <si>
    <t xml:space="preserve">E13_CSF                            </t>
  </si>
  <si>
    <t xml:space="preserve">E13_CWS                            </t>
  </si>
  <si>
    <t xml:space="preserve">E13_D1X1                           </t>
  </si>
  <si>
    <t>Revisat.Comparteix dependencies 3.2 amb E13_TME</t>
  </si>
  <si>
    <t xml:space="preserve">RESTORE                            </t>
  </si>
  <si>
    <t xml:space="preserve">E13_ECND                           </t>
  </si>
  <si>
    <t xml:space="preserve">E13_EDUCERCA                       </t>
  </si>
  <si>
    <t>Conté informació necessaria</t>
  </si>
  <si>
    <t xml:space="preserve">PUCADM                             </t>
  </si>
  <si>
    <t xml:space="preserve">QV                                 </t>
  </si>
  <si>
    <t xml:space="preserve">E13_ESE                            </t>
  </si>
  <si>
    <t xml:space="preserve">E13_ASI                            </t>
  </si>
  <si>
    <t>Sense lot assignat,REVISAT JVA Es pot eliminar</t>
  </si>
  <si>
    <t xml:space="preserve">E13_FDC                            </t>
  </si>
  <si>
    <t xml:space="preserve">E13_FIE                            </t>
  </si>
  <si>
    <t>FIE</t>
  </si>
  <si>
    <t xml:space="preserve">E13_FORMACIO                       </t>
  </si>
  <si>
    <t xml:space="preserve">E13_FORMACIO_GAF                   </t>
  </si>
  <si>
    <t xml:space="preserve">E13_FPPR                           </t>
  </si>
  <si>
    <t xml:space="preserve">E13_GESTIO_EDIFICI                 </t>
  </si>
  <si>
    <t xml:space="preserve">E13_GCON                           </t>
  </si>
  <si>
    <t xml:space="preserve">E13_GCONV                          </t>
  </si>
  <si>
    <t>NO</t>
  </si>
  <si>
    <t xml:space="preserve">E13_GEL                            </t>
  </si>
  <si>
    <t xml:space="preserve">E13_GES_LOE                        </t>
  </si>
  <si>
    <t xml:space="preserve">E13_CAT_SERVEIS                    </t>
  </si>
  <si>
    <t xml:space="preserve">E13_GESTILS                        </t>
  </si>
  <si>
    <t xml:space="preserve">E13_PCONV                          </t>
  </si>
  <si>
    <t>SÍ</t>
  </si>
  <si>
    <t xml:space="preserve">UPLOAD                             </t>
  </si>
  <si>
    <t xml:space="preserve">E13_GIN                            </t>
  </si>
  <si>
    <t xml:space="preserve">E13_PDP                            </t>
  </si>
  <si>
    <t xml:space="preserve">E13_GSA                            </t>
  </si>
  <si>
    <t xml:space="preserve">E13_GSA_AAC                        </t>
  </si>
  <si>
    <t xml:space="preserve">E13_GSA_ACR                        </t>
  </si>
  <si>
    <t xml:space="preserve">E13_GSA_AUC                        </t>
  </si>
  <si>
    <t>JCN: Pendent decisió ATIC. Forta dependència amb GSA_Nucli</t>
  </si>
  <si>
    <t xml:space="preserve">E13_GSA_CFI                        </t>
  </si>
  <si>
    <t xml:space="preserve">E13_GSA_CONF                       </t>
  </si>
  <si>
    <t xml:space="preserve">E13_GSA_EEM                        </t>
  </si>
  <si>
    <t xml:space="preserve">E13_GSA_EOI                        </t>
  </si>
  <si>
    <t xml:space="preserve">E13_GSA_GES                        </t>
  </si>
  <si>
    <t xml:space="preserve">E13_GSA_INS                        </t>
  </si>
  <si>
    <t xml:space="preserve">E13_GSA_NUCLI                      </t>
  </si>
  <si>
    <t xml:space="preserve">E13_GSA_PACF                       </t>
  </si>
  <si>
    <t xml:space="preserve">E13_GSA_RHA                        </t>
  </si>
  <si>
    <t xml:space="preserve">E13_GSA_UC                         </t>
  </si>
  <si>
    <t>GSA</t>
  </si>
  <si>
    <t>GSD</t>
  </si>
  <si>
    <t xml:space="preserve">E13_GSD_AVALDOC                    </t>
  </si>
  <si>
    <t xml:space="preserve">E13_GSD_CMD                        </t>
  </si>
  <si>
    <t xml:space="preserve">E13_GSD_ESTIU                      </t>
  </si>
  <si>
    <t xml:space="preserve">E13_GSD_MER                        </t>
  </si>
  <si>
    <t>Conté taules de logs. Potser es podrien esborrar registres. Cal revisar que no siguin consultades des de l'aplicació.</t>
  </si>
  <si>
    <t xml:space="preserve">E13_GSD_REL                        </t>
  </si>
  <si>
    <t xml:space="preserve">E13_GTE                            </t>
  </si>
  <si>
    <t>XMC:Identificar dependències, jobs, sh, ultim accés user, útimes operacions DML/DDL. Revocar permisos abans d'eliminar
JCN:L'aplicació no pertany a AM10 (GTE d'AM10 és host). Sembla que és gestió de tribunals, possiblement del lot AM05.</t>
  </si>
  <si>
    <t>GTE</t>
  </si>
  <si>
    <t xml:space="preserve">E13_GTE_ANE                        </t>
  </si>
  <si>
    <t xml:space="preserve">E13_GTE_CAT                        </t>
  </si>
  <si>
    <t xml:space="preserve">E13_GTE_PAS                        </t>
  </si>
  <si>
    <t xml:space="preserve">E13_GTO                            </t>
  </si>
  <si>
    <t xml:space="preserve">E13_GUAC                           </t>
  </si>
  <si>
    <t xml:space="preserve">E13_HST_A6P                        </t>
  </si>
  <si>
    <t xml:space="preserve">E13_HTE                            </t>
  </si>
  <si>
    <t xml:space="preserve">E13_ID_SUBSC                       </t>
  </si>
  <si>
    <t xml:space="preserve">E13_IDA                            </t>
  </si>
  <si>
    <t>Si es tracta de l'àntic idalu creiem que es pot eliminar</t>
  </si>
  <si>
    <t xml:space="preserve">E13_INAPDEP                        </t>
  </si>
  <si>
    <t xml:space="preserve">E13_APD_0607                       </t>
  </si>
  <si>
    <t xml:space="preserve">E13_INSPECCIO                      </t>
  </si>
  <si>
    <t xml:space="preserve">MIGR_ESQ                           </t>
  </si>
  <si>
    <t xml:space="preserve">E13_MAPAES                         </t>
  </si>
  <si>
    <t>MOE</t>
  </si>
  <si>
    <t>Rosa Cañellas</t>
  </si>
  <si>
    <t xml:space="preserve">E13_MAPAOE                         </t>
  </si>
  <si>
    <t xml:space="preserve">E13_MAPAPRE                        </t>
  </si>
  <si>
    <t xml:space="preserve">E13_MAPAPRO                        </t>
  </si>
  <si>
    <t xml:space="preserve">E13_MERLI                          </t>
  </si>
  <si>
    <t xml:space="preserve">E13_MERLI_CER                      </t>
  </si>
  <si>
    <t xml:space="preserve">E13_MERLI_DUC                      </t>
  </si>
  <si>
    <t xml:space="preserve">E13_MERLI_ORG                      </t>
  </si>
  <si>
    <t xml:space="preserve">E13_MFLEX                          </t>
  </si>
  <si>
    <t xml:space="preserve">E13_MSG                            </t>
  </si>
  <si>
    <t xml:space="preserve">E13_MTC                            </t>
  </si>
  <si>
    <t>MTC</t>
  </si>
  <si>
    <t xml:space="preserve">E13_NOV                            </t>
  </si>
  <si>
    <t xml:space="preserve">E13_OFE_EDU                        </t>
  </si>
  <si>
    <t xml:space="preserve">E13_OFERTA                         </t>
  </si>
  <si>
    <t>OFERTA</t>
  </si>
  <si>
    <t>Són del 2009 - Cal confirmar amb gestor si es pot esborrar o cal historificar</t>
  </si>
  <si>
    <t>OPO</t>
  </si>
  <si>
    <t xml:space="preserve">E13_ORAT                           </t>
  </si>
  <si>
    <t xml:space="preserve">E13_ORG_DEP                        </t>
  </si>
  <si>
    <t xml:space="preserve">E13_OTG                            </t>
  </si>
  <si>
    <t xml:space="preserve">E13_OVT_PUBLI                      </t>
  </si>
  <si>
    <t>Cal confirmar amb gestor si es pot esborrar o cal historificar
DMM: Es troba de baixa a l'inventari d'app</t>
  </si>
  <si>
    <t>PAV</t>
  </si>
  <si>
    <t xml:space="preserve">E13_PAV_IAS                        </t>
  </si>
  <si>
    <t xml:space="preserve">E13_PAV_SIDENT                     </t>
  </si>
  <si>
    <t xml:space="preserve">SUPTEC                             </t>
  </si>
  <si>
    <t xml:space="preserve">E13_PDA                            </t>
  </si>
  <si>
    <t xml:space="preserve">E13_PDCENTRE                       </t>
  </si>
  <si>
    <t xml:space="preserve">E13_CONSELLERIA                    </t>
  </si>
  <si>
    <t>Sense lot assignat,REVISAT JVA</t>
  </si>
  <si>
    <t xml:space="preserve">E13_PER                            </t>
  </si>
  <si>
    <t xml:space="preserve">E13_PFI                            </t>
  </si>
  <si>
    <t xml:space="preserve">E13_PFI2                           </t>
  </si>
  <si>
    <t xml:space="preserve">PUBLICACIONS                       </t>
  </si>
  <si>
    <t>Revisar 3.4 Sinonims</t>
  </si>
  <si>
    <t xml:space="preserve">E13_PLD                            </t>
  </si>
  <si>
    <t xml:space="preserve">E13_POE                            </t>
  </si>
  <si>
    <t xml:space="preserve">E13_PPA                            </t>
  </si>
  <si>
    <t>PPQPI</t>
  </si>
  <si>
    <t xml:space="preserve">E13_PQPI                           </t>
  </si>
  <si>
    <t xml:space="preserve">E13_PRACTICUM                      </t>
  </si>
  <si>
    <t>Està donada de baixa</t>
  </si>
  <si>
    <t>PREMISCAT</t>
  </si>
  <si>
    <t xml:space="preserve">E13_PUB                            </t>
  </si>
  <si>
    <t>Són unes dades cuinades per a la publicació del 2011 per evitar que es caigués el sistema quan es consultaven les publicacions - Cal confirmar amb gestor si es pot esborrar o cal historificar</t>
  </si>
  <si>
    <t>PUB_RESULTATS</t>
  </si>
  <si>
    <t xml:space="preserve">E13_QCEN                           </t>
  </si>
  <si>
    <t xml:space="preserve">E13_QESI                           </t>
  </si>
  <si>
    <t xml:space="preserve">E13_QEST_LLARS                     </t>
  </si>
  <si>
    <t xml:space="preserve">E13_QOF                            </t>
  </si>
  <si>
    <t xml:space="preserve">E13_QSI                            </t>
  </si>
  <si>
    <t xml:space="preserve">E13_RALC                           </t>
  </si>
  <si>
    <t xml:space="preserve">E13_RECE                           </t>
  </si>
  <si>
    <t>RESERVA_SALES</t>
  </si>
  <si>
    <t xml:space="preserve">E13_RLE                            </t>
  </si>
  <si>
    <t xml:space="preserve">E13_RRHH                           </t>
  </si>
  <si>
    <t xml:space="preserve">E13_RTA                            </t>
  </si>
  <si>
    <t xml:space="preserve">E13_RTT                            </t>
  </si>
  <si>
    <t xml:space="preserve">ADSL                               </t>
  </si>
  <si>
    <t xml:space="preserve">DUPLIXTEC                          </t>
  </si>
  <si>
    <t xml:space="preserve">E13_GRIP                           </t>
  </si>
  <si>
    <t>Per eliminar,revisar 3.2 E13_ORG_DEP</t>
  </si>
  <si>
    <t xml:space="preserve">E13_SIDIE                          </t>
  </si>
  <si>
    <t xml:space="preserve">E13_SII                            </t>
  </si>
  <si>
    <t xml:space="preserve">E13_SML                            </t>
  </si>
  <si>
    <t xml:space="preserve">E13_SOR                            </t>
  </si>
  <si>
    <t xml:space="preserve">E13_SSO_SM                         </t>
  </si>
  <si>
    <t xml:space="preserve">E13_SUPERVISIO                     </t>
  </si>
  <si>
    <t xml:space="preserve">FINESTRETA                         </t>
  </si>
  <si>
    <t>Per eliminar,revisar estat LOCKED 1.2</t>
  </si>
  <si>
    <t xml:space="preserve">E13_TME                            </t>
  </si>
  <si>
    <t>És compatida amb AM05 ja que l'aplicació GTI té les seves taules a la TME</t>
  </si>
  <si>
    <t xml:space="preserve">E13_UTILS                          </t>
  </si>
  <si>
    <t xml:space="preserve">E13_VAD                            </t>
  </si>
  <si>
    <t xml:space="preserve">E13_GAP                            </t>
  </si>
  <si>
    <t>Revisar 3.2 APEX_APPLICATION_FILES,DBMS_LOB</t>
  </si>
  <si>
    <t xml:space="preserve">E13_VOL                            </t>
  </si>
  <si>
    <t xml:space="preserve">EOICAMPUS                          </t>
  </si>
  <si>
    <t>Nosaltres gestionem una aplicació anomenada "1143-AGORA-EOI" de Campus Virtuals però està allotjada a AWS. Si fos nostre es podria eliminar però impossible saber-ho sense conèixer les dades que hi ha dins.</t>
  </si>
  <si>
    <t xml:space="preserve">SUPTICADM                          </t>
  </si>
  <si>
    <t>Revisar 3.2 GAFADM</t>
  </si>
  <si>
    <t xml:space="preserve">E13_SHP                            </t>
  </si>
  <si>
    <t>Per eliminar,pero revisar 3.2 DBMS_SQL</t>
  </si>
  <si>
    <t xml:space="preserve">E13_SGP                            </t>
  </si>
  <si>
    <t xml:space="preserve">GAFADM                             </t>
  </si>
  <si>
    <t>Ja s'esborra, sota petició de la usuària, la taula respostes dels qüestionaris. Potser es podria esborrar registres de les taules de logs. Caldria que la usuària donés l'ok.</t>
  </si>
  <si>
    <t xml:space="preserve">GAVIS                              </t>
  </si>
  <si>
    <t xml:space="preserve">GCDE_ESTADISTICA                   </t>
  </si>
  <si>
    <t xml:space="preserve">GEDAC                              </t>
  </si>
  <si>
    <t>Teoricament es va demanar el seu esborrat.</t>
  </si>
  <si>
    <t>GEPSE</t>
  </si>
  <si>
    <t xml:space="preserve">TAS000000016839                    </t>
  </si>
  <si>
    <t>Per eliminar.Revisar trigger 2.1 ,revisar GAFA 3.2,limpiar privilegios</t>
  </si>
  <si>
    <t xml:space="preserve">GSMADMIN_INTERNAL                  </t>
  </si>
  <si>
    <t xml:space="preserve">HPSM_IMP                           </t>
  </si>
  <si>
    <t xml:space="preserve">IDI                                </t>
  </si>
  <si>
    <t xml:space="preserve">E13_CONV                           </t>
  </si>
  <si>
    <t>Molts objectes dependents de Appex</t>
  </si>
  <si>
    <t xml:space="preserve">INSPECCIO                          </t>
  </si>
  <si>
    <t xml:space="preserve">INTRAPIEADM                        </t>
  </si>
  <si>
    <t xml:space="preserve">INTRAPIEOAS                        </t>
  </si>
  <si>
    <t xml:space="preserve">JHOMAR                             </t>
  </si>
  <si>
    <t>JCN: No gestionat per AM10</t>
  </si>
  <si>
    <t xml:space="preserve">JORGUE                             </t>
  </si>
  <si>
    <t xml:space="preserve">LIDA                               </t>
  </si>
  <si>
    <t>JCN: Aplicació antiga, possiblement obsoleta. No gestionat per AM10</t>
  </si>
  <si>
    <t xml:space="preserve">BIPUBSCHED                         </t>
  </si>
  <si>
    <t>XMC:Eliminar. No hi ha dades</t>
  </si>
  <si>
    <t xml:space="preserve">OBRES                              </t>
  </si>
  <si>
    <t xml:space="preserve">OJVMSYS                            </t>
  </si>
  <si>
    <t xml:space="preserve">ORDDATA                            </t>
  </si>
  <si>
    <t xml:space="preserve">ORDS_METADATA                      </t>
  </si>
  <si>
    <t xml:space="preserve">PAEC                               </t>
  </si>
  <si>
    <t xml:space="preserve">PEBAC                              </t>
  </si>
  <si>
    <t xml:space="preserve">PEBAX                              </t>
  </si>
  <si>
    <t xml:space="preserve">PERGAM                             </t>
  </si>
  <si>
    <t xml:space="preserve">PERGAM2                            </t>
  </si>
  <si>
    <t>Còpia de PERGAM. Les 24 dependències són d'un paquet de PERGAM,  PKG_COPIA_PERGAM,  copia dades de PERGAM a PERGAM2, pel que aquest paquet també es pot eliminar.</t>
  </si>
  <si>
    <t>EPERGAM</t>
  </si>
  <si>
    <t xml:space="preserve">E13_CON_MENORS                     </t>
  </si>
  <si>
    <t xml:space="preserve">E13_SCD                            </t>
  </si>
  <si>
    <t>Revisat,comparteix objectes amb E13_TME de AM10 i APEX_200200</t>
  </si>
  <si>
    <t xml:space="preserve">E13_ENQ                            </t>
  </si>
  <si>
    <t>ENQ</t>
  </si>
  <si>
    <t>Revisat,comparteix objectes amb E13_TME de AM10</t>
  </si>
  <si>
    <t xml:space="preserve">REGISTREFOR                        </t>
  </si>
  <si>
    <t xml:space="preserve">E13_TIT                            </t>
  </si>
  <si>
    <t xml:space="preserve">E13_CED                            </t>
  </si>
  <si>
    <t xml:space="preserve">SAGA_CENTRAL                       </t>
  </si>
  <si>
    <t xml:space="preserve">SIENS_ADM                          </t>
  </si>
  <si>
    <t xml:space="preserve">E13_GESATIC                        </t>
  </si>
  <si>
    <t>Per eliminar .Revisar Roles y privilegis a altres esquemas</t>
  </si>
  <si>
    <t xml:space="preserve">E13_EDUROAM                        </t>
  </si>
  <si>
    <t>Per eliminar .Revisar 3.4 Sinónimos.Roles y privilegiosa otros esquemas</t>
  </si>
  <si>
    <t xml:space="preserve">E13_APACTIU                        </t>
  </si>
  <si>
    <t xml:space="preserve">E13_BO_NICE                        </t>
  </si>
  <si>
    <t xml:space="preserve">E13_PILE                           </t>
  </si>
  <si>
    <t xml:space="preserve">TSYSTEMS                           </t>
  </si>
  <si>
    <t xml:space="preserve">AUDITORI                           </t>
  </si>
  <si>
    <t xml:space="preserve">USAV                               </t>
  </si>
  <si>
    <t xml:space="preserve">E13_DMA_ATIC                       </t>
  </si>
  <si>
    <t xml:space="preserve">XDB                                </t>
  </si>
  <si>
    <t xml:space="preserve">DIRCENT                            </t>
  </si>
  <si>
    <t>REVISAT JVA, objectes dependents de GAFA per revisar</t>
  </si>
  <si>
    <t xml:space="preserve">INFOXTEC                           </t>
  </si>
  <si>
    <t xml:space="preserve">XTEC_ALTES                         </t>
  </si>
  <si>
    <t xml:space="preserve">                           </t>
  </si>
  <si>
    <t>OR UPPER(text) LIKE '%</t>
  </si>
  <si>
    <t>.%'</t>
  </si>
  <si>
    <t xml:space="preserve">XT20_ALFRESCO                      </t>
  </si>
  <si>
    <t>OWNER</t>
  </si>
  <si>
    <t xml:space="preserve">TABLE                                           </t>
  </si>
  <si>
    <t>MBYTES</t>
  </si>
  <si>
    <t>GBBytes</t>
  </si>
  <si>
    <t>Política esborrat/conservació?</t>
  </si>
  <si>
    <t>Pertany esquema obsolet</t>
  </si>
  <si>
    <t xml:space="preserve">E13_CWS                        </t>
  </si>
  <si>
    <t xml:space="preserve">OSB_TRACES_COMUNES                              </t>
  </si>
  <si>
    <t>Taula amb els registres de log de l'OSB a partir del 2021</t>
  </si>
  <si>
    <t xml:space="preserve">UTILS_TB_LOG                                    </t>
  </si>
  <si>
    <t>Cal conservar, es manté el LOG de 1 mes</t>
  </si>
  <si>
    <t xml:space="preserve">OSB_TRACES_COMUNES_BCK                          </t>
  </si>
  <si>
    <t>Taula amb els registres de log de l'OSB fins al 2021</t>
  </si>
  <si>
    <t xml:space="preserve">IDI                            </t>
  </si>
  <si>
    <t xml:space="preserve">UTILS_TB_HST_LOG                                </t>
  </si>
  <si>
    <t>Cal conservar, es manté el LOG de 2 anys</t>
  </si>
  <si>
    <t xml:space="preserve">GEDAC                          </t>
  </si>
  <si>
    <t xml:space="preserve">PROCES_GEDAC_DETALL                             </t>
  </si>
  <si>
    <t xml:space="preserve">No existeix política d'esborrat. </t>
  </si>
  <si>
    <t xml:space="preserve">ADMXTEC                        </t>
  </si>
  <si>
    <t>Cal conservar, es manté el LOG de 6 mesos</t>
  </si>
  <si>
    <t xml:space="preserve">GAFADM                         </t>
  </si>
  <si>
    <t xml:space="preserve">T_LOG_PERSONA                                   </t>
  </si>
  <si>
    <t>No en té</t>
  </si>
  <si>
    <t xml:space="preserve">E13_GICARSM                    </t>
  </si>
  <si>
    <t xml:space="preserve">SMACCESSLOG4                                    </t>
  </si>
  <si>
    <t xml:space="preserve">E13_SSO_SM                     </t>
  </si>
  <si>
    <t>No exisitex política d'esborrat</t>
  </si>
  <si>
    <t xml:space="preserve">OVT_PUBLITB_AP_RESULTATS                        </t>
  </si>
  <si>
    <t>Taula d'aplicació. No aplica</t>
  </si>
  <si>
    <t xml:space="preserve">LOG_SOLICITUDS_HISTORIC                         </t>
  </si>
  <si>
    <t>Taula destinària de l'esborrat de  LOG_SOLICITUDS</t>
  </si>
  <si>
    <t xml:space="preserve">E13_SML                        </t>
  </si>
  <si>
    <t xml:space="preserve">TWSC_MAILS                                      </t>
  </si>
  <si>
    <t xml:space="preserve">PAEC                           </t>
  </si>
  <si>
    <t xml:space="preserve">E13_MSG                        </t>
  </si>
  <si>
    <t xml:space="preserve">MSG_TB_PETICIO_DET                              </t>
  </si>
  <si>
    <t xml:space="preserve">E13_VAD                        </t>
  </si>
  <si>
    <t xml:space="preserve">VADTB_LOG                                       </t>
  </si>
  <si>
    <t xml:space="preserve">E13_HST_A6P                    </t>
  </si>
  <si>
    <t xml:space="preserve">HST_AGD_AVA_ALUMNE_ITEM                         </t>
  </si>
  <si>
    <t>No són taules LOG</t>
  </si>
  <si>
    <t xml:space="preserve">E13_PLD                        </t>
  </si>
  <si>
    <t xml:space="preserve">PLDTB_AP_ESPEC_PROFES                           </t>
  </si>
  <si>
    <t xml:space="preserve">BAE_DMA_CURRICULUM                              </t>
  </si>
  <si>
    <t>Cal conservar, dades amb finestra de dos anys</t>
  </si>
  <si>
    <t xml:space="preserve">E13_AGD                        </t>
  </si>
  <si>
    <t xml:space="preserve">OLD_HST_AGD_AVA_ALUMNE_ITEM                     </t>
  </si>
  <si>
    <t xml:space="preserve">BO_LOG_AUTORITZACIO                             </t>
  </si>
  <si>
    <t>Politica d'esborrat anys anteriors, hi ha dades des del 2006</t>
  </si>
  <si>
    <t>Procediments Oracle on desa els errors de les accions</t>
  </si>
  <si>
    <t>SAGA</t>
  </si>
  <si>
    <t xml:space="preserve">E13_A6P                        </t>
  </si>
  <si>
    <t xml:space="preserve">HST_A6P_RESULTAT                                </t>
  </si>
  <si>
    <t xml:space="preserve">HST_A4S_RESULTAT                                </t>
  </si>
  <si>
    <t xml:space="preserve">BAE_DMA_CURRICULUM_AVALUACIO                    </t>
  </si>
  <si>
    <t xml:space="preserve">LOG_GEDAC                                       </t>
  </si>
  <si>
    <t>Cal conservar, són els logs dels darrers 15 dies</t>
  </si>
  <si>
    <t xml:space="preserve">GEDACPRE_ENVIAMENT_CORREUS                      </t>
  </si>
  <si>
    <t xml:space="preserve">E13_AAC_PREINS                 </t>
  </si>
  <si>
    <t xml:space="preserve">AACTBLOG_WS                                     </t>
  </si>
  <si>
    <t xml:space="preserve">GAVIS                          </t>
  </si>
  <si>
    <t xml:space="preserve">E13_OFE_EDU                    </t>
  </si>
  <si>
    <t xml:space="preserve">T_LOG_ACTIVITAT                                 </t>
  </si>
  <si>
    <t xml:space="preserve">BKBAE_DMA_CURRICULUM                            </t>
  </si>
  <si>
    <t>Taula de backup sol·licitada en un AGIN ja resolt</t>
  </si>
  <si>
    <t>BAE</t>
  </si>
  <si>
    <t xml:space="preserve">BK3BAE_DMA_CURRICULUM                           </t>
  </si>
  <si>
    <t xml:space="preserve">BK2BAE_DMA_CURRICULUM                           </t>
  </si>
  <si>
    <t xml:space="preserve">OLD_HST_AGD_RESULTAT                            </t>
  </si>
  <si>
    <t xml:space="preserve">E13_SIDIE                      </t>
  </si>
  <si>
    <t xml:space="preserve">EX_V_DMA_CURRICULUM                             </t>
  </si>
  <si>
    <t>Cal conservar, es manté el LOG de 15 dies</t>
  </si>
  <si>
    <t xml:space="preserve">E13_GSA_NUCLI                  </t>
  </si>
  <si>
    <t xml:space="preserve">GSATBG77_APP_LOG                                </t>
  </si>
  <si>
    <t>No existeix política d'esborrat</t>
  </si>
  <si>
    <t xml:space="preserve">E13_RLE                        </t>
  </si>
  <si>
    <t xml:space="preserve">RLE_LOG                                         </t>
  </si>
  <si>
    <t xml:space="preserve">ADMCTRL                        </t>
  </si>
  <si>
    <t xml:space="preserve">TB_CONTROL_ACCESSOS                             </t>
  </si>
  <si>
    <t xml:space="preserve">E13_POE                        </t>
  </si>
  <si>
    <t xml:space="preserve">POETB103_LOGS_PROCESSOS                         </t>
  </si>
  <si>
    <t>Es pot esborrar el contingut</t>
  </si>
  <si>
    <t xml:space="preserve">LOG_CRIDES_WS                                   </t>
  </si>
  <si>
    <t xml:space="preserve">VFS_NICE_264                   </t>
  </si>
  <si>
    <t xml:space="preserve">ACTION_LOG_OLD                                  </t>
  </si>
  <si>
    <t xml:space="preserve">E13_SII                        </t>
  </si>
  <si>
    <t xml:space="preserve">SIITBMATRICULES                                 </t>
  </si>
  <si>
    <t xml:space="preserve">TRAC_TB_CARREGA_VACUNA_LOG                      </t>
  </si>
  <si>
    <t>Són aplicació Traçacovid - Es podrien historificar</t>
  </si>
  <si>
    <t xml:space="preserve">E13_GTO                        </t>
  </si>
  <si>
    <t xml:space="preserve">GTO_LOG_MISSATGE                                </t>
  </si>
  <si>
    <t>Es podrien esborrar registres però caldria seleccionar quins es poden esborrar.</t>
  </si>
  <si>
    <t xml:space="preserve">UTILS_TB_HST_LOG_OLD                            </t>
  </si>
  <si>
    <t>AWA</t>
  </si>
  <si>
    <t xml:space="preserve">GSATBG91_OVT_ENV_DETALL                         </t>
  </si>
  <si>
    <t xml:space="preserve">E13_BORPAS                     </t>
  </si>
  <si>
    <t xml:space="preserve">BORPASTB_CA_OCUPACIO                            </t>
  </si>
  <si>
    <t xml:space="preserve">SIITBMATRICULES_BAL                             </t>
  </si>
  <si>
    <t xml:space="preserve">BK3BAE_DMA_CURRICULUM_AVAL                      </t>
  </si>
  <si>
    <t xml:space="preserve">BK2BAE_DMA_CURRICULUM_AVAL                      </t>
  </si>
  <si>
    <t xml:space="preserve">E13_FPPR                       </t>
  </si>
  <si>
    <t xml:space="preserve">FPPR_ACDD_ACT_LOGPROC                           </t>
  </si>
  <si>
    <t xml:space="preserve">BKBAE_DMA_CURRICULUM_AVAL                       </t>
  </si>
  <si>
    <t xml:space="preserve">VADTB_AP_DEMANDES_ADJ                           </t>
  </si>
  <si>
    <t>Taula paral·lel adjudicació, s'eborra abans de cada execució</t>
  </si>
  <si>
    <t xml:space="preserve">E13_SUPERVISIO                 </t>
  </si>
  <si>
    <t xml:space="preserve">AO_RESPOSTA_H                                   </t>
  </si>
  <si>
    <t xml:space="preserve">PERGAM                         </t>
  </si>
  <si>
    <t xml:space="preserve">CATALEG                                         </t>
  </si>
  <si>
    <t xml:space="preserve">E13_ESPINA_BD                  </t>
  </si>
  <si>
    <t xml:space="preserve">NOMINES_TFINAL                                  </t>
  </si>
  <si>
    <t xml:space="preserve">PLDTB_AP_CTRS_REGISTRE                          </t>
  </si>
  <si>
    <t xml:space="preserve">VADTB_AP_PETIC_AMBIT_ESPEC                      </t>
  </si>
  <si>
    <t xml:space="preserve">E13_GSD_ESTIU                  </t>
  </si>
  <si>
    <t xml:space="preserve">GSDTBERRORS                                     </t>
  </si>
  <si>
    <t xml:space="preserve">T_LOG_ALUMNE                                    </t>
  </si>
  <si>
    <t xml:space="preserve">E13_GCON                       </t>
  </si>
  <si>
    <t xml:space="preserve">GCONTB_DA_NOMINA                                </t>
  </si>
  <si>
    <t xml:space="preserve">AO_STATS_OUTPUT_BUFFER                          </t>
  </si>
  <si>
    <t xml:space="preserve">IDATB10_AP_NUCLI_LOG                            </t>
  </si>
  <si>
    <t>Creiem que es pot eliminar</t>
  </si>
  <si>
    <t xml:space="preserve">E13_BOR                        </t>
  </si>
  <si>
    <t xml:space="preserve">BOR_PREF_MUNICIPIS                              </t>
  </si>
  <si>
    <t>Cal conservar, es manté el LOG de 90 dies</t>
  </si>
  <si>
    <t xml:space="preserve">LOG_RECALCUL_GRAELLA                            </t>
  </si>
  <si>
    <t xml:space="preserve">HST_A6P_AVALUACIO_ALUMNE_NIVEL                  </t>
  </si>
  <si>
    <t xml:space="preserve">HST_A4S_AVALUACIO_ALUMNE_NIVEL                  </t>
  </si>
  <si>
    <t xml:space="preserve">EX_V_DMA_CURRICULUM_AVALUACIO                   </t>
  </si>
  <si>
    <t xml:space="preserve">E13_GSA_INS                    </t>
  </si>
  <si>
    <t xml:space="preserve">GSATBI07LOG_CRON                                </t>
  </si>
  <si>
    <t>Elimina logs amb antiguitat superior a 7 dies</t>
  </si>
  <si>
    <t xml:space="preserve">HST_AGD_AVA_ALUMNE_COMP                         </t>
  </si>
  <si>
    <t xml:space="preserve">RALC_TB_REGISTRE_LOG_MAT                        </t>
  </si>
  <si>
    <t xml:space="preserve">OSB_TRACES_PICA                                 </t>
  </si>
  <si>
    <t xml:space="preserve">NOMINES_TPUNTERSVINCLES                         </t>
  </si>
  <si>
    <t xml:space="preserve">E13_ID_SUBSC                   </t>
  </si>
  <si>
    <t xml:space="preserve">PETICIONS                                       </t>
  </si>
  <si>
    <t xml:space="preserve">OLD_HST_AGD_AVA_ALUMNE_COMP                     </t>
  </si>
  <si>
    <t xml:space="preserve">E13_FORMACIO                   </t>
  </si>
  <si>
    <t xml:space="preserve">FP_HISTORIC_GPF                                 </t>
  </si>
  <si>
    <t xml:space="preserve">E13_GSD_OPO                    </t>
  </si>
  <si>
    <t xml:space="preserve">GSD_OPO_TB_COM_LOG                              </t>
  </si>
  <si>
    <t xml:space="preserve">SIITBALUMNES                                    </t>
  </si>
  <si>
    <t xml:space="preserve">VADTB_AP_DEMANDES_TMP                           </t>
  </si>
  <si>
    <t xml:space="preserve">IDATB_TP_ALUMNES_INCR                           </t>
  </si>
  <si>
    <t xml:space="preserve">E13_GUAC                       </t>
  </si>
  <si>
    <t xml:space="preserve">E13_TME                        </t>
  </si>
  <si>
    <t xml:space="preserve">TMETB15PERSONALXESP_N1                          </t>
  </si>
  <si>
    <t xml:space="preserve">E13_OTG                        </t>
  </si>
  <si>
    <t xml:space="preserve">OTG_MV_GSDV0320_LOC                             </t>
  </si>
  <si>
    <t>Vista materialitzada de dades Host</t>
  </si>
  <si>
    <t xml:space="preserve">GTO_IMPRES_ASPIRANT                             </t>
  </si>
  <si>
    <t xml:space="preserve">GRL_TB_LOG                                      </t>
  </si>
  <si>
    <t xml:space="preserve">RALC_TB_REGISTRE_LOG                            </t>
  </si>
  <si>
    <t xml:space="preserve">BORPASTB_AP_HISTORIC_CANDIDATU                  </t>
  </si>
  <si>
    <t xml:space="preserve">AACTBINFO_WS                                    </t>
  </si>
  <si>
    <t xml:space="preserve">BO_LOG_TITULACIOPERSONAL                        </t>
  </si>
  <si>
    <t xml:space="preserve">REGISTREFOR                    </t>
  </si>
  <si>
    <t xml:space="preserve">T_REGISTRE_CERTIFICATS                          </t>
  </si>
  <si>
    <t xml:space="preserve">VADTB_AP_REPORT_INTERACTIU                      </t>
  </si>
  <si>
    <t xml:space="preserve">E13_PUB                        </t>
  </si>
  <si>
    <t xml:space="preserve">ADEVLOG                                         </t>
  </si>
  <si>
    <t xml:space="preserve">T_PERSONA                                       </t>
  </si>
  <si>
    <t xml:space="preserve">OTG_MV_RTAV0020                                 </t>
  </si>
  <si>
    <t xml:space="preserve">OVT_PUBLITB_AP_SOLICITUDS                       </t>
  </si>
  <si>
    <t xml:space="preserve">E13_FIE                        </t>
  </si>
  <si>
    <t xml:space="preserve">TMP_LOG                                         </t>
  </si>
  <si>
    <t xml:space="preserve">ALUMNES                                         </t>
  </si>
  <si>
    <t xml:space="preserve">E13_HTE                        </t>
  </si>
  <si>
    <t xml:space="preserve">HTE_WS_LOG                                      </t>
  </si>
  <si>
    <t xml:space="preserve">BO_LOG_ENSENYAMENTCENTRE                        </t>
  </si>
  <si>
    <t xml:space="preserve">TRAC_TB_CARREGA_SALUT_LOG                       </t>
  </si>
  <si>
    <t xml:space="preserve">PLDTB_AP_FOTO_GRUPS                             </t>
  </si>
  <si>
    <t xml:space="preserve">AD                             </t>
  </si>
  <si>
    <t xml:space="preserve">AD_TB_RESULTATS                                 </t>
  </si>
  <si>
    <t xml:space="preserve">RALC_TB_AL_MATRICULA                            </t>
  </si>
  <si>
    <t xml:space="preserve">BOR_DEBUG_PROCEDURE                             </t>
  </si>
  <si>
    <t>Es podria esborrar periodicament. Proposta esborrar registres amb una antiguitat 1 més</t>
  </si>
  <si>
    <t xml:space="preserve">PLDTB_AP_FOTO_LLOCS                             </t>
  </si>
  <si>
    <t xml:space="preserve">GSATB93_COM_OVT                                 </t>
  </si>
  <si>
    <t xml:space="preserve">PLDTB_AP_DADES_FITXERS_GIP                      </t>
  </si>
  <si>
    <t xml:space="preserve">OVT_PUBLITB_ITP_RESULTA_190618                  </t>
  </si>
  <si>
    <t>Taula de backup antiga</t>
  </si>
  <si>
    <t>OVT_PUBLI</t>
  </si>
  <si>
    <t xml:space="preserve">BAE_DMA_MATRICULA                               </t>
  </si>
  <si>
    <t xml:space="preserve">VADTB_AP_LLOC                                   </t>
  </si>
  <si>
    <t xml:space="preserve">T_FOR_ALUMNE                                    </t>
  </si>
  <si>
    <t xml:space="preserve">OVT_PUBLITB_AP_LOG_CONSULTA                     </t>
  </si>
  <si>
    <t xml:space="preserve">ZZTMPTB_FITXER_HOST_T_PAS2                      </t>
  </si>
  <si>
    <t>Taula de backup del procés de migració de RTA</t>
  </si>
  <si>
    <t>RTT</t>
  </si>
  <si>
    <t xml:space="preserve">OVT_PUBLITB_ITP_RESULTATS                       </t>
  </si>
  <si>
    <t xml:space="preserve">E13_PDA                        </t>
  </si>
  <si>
    <t xml:space="preserve">PDATB_AP_DADES_GIP                              </t>
  </si>
  <si>
    <t>Es poden esborrar periodicament. Proposta esborrar registres de convocatòries no vigents</t>
  </si>
  <si>
    <t xml:space="preserve">INTRAPIEADM                    </t>
  </si>
  <si>
    <t xml:space="preserve">T_ACTA_R_FORMADORS                              </t>
  </si>
  <si>
    <t xml:space="preserve">SIITBDEBUG_PROCEDURE                            </t>
  </si>
  <si>
    <t xml:space="preserve">T_FOR_ACTIVITAT                                 </t>
  </si>
  <si>
    <t xml:space="preserve">SIITBMAT_VAL_RESULTAT                           </t>
  </si>
  <si>
    <t xml:space="preserve">BOR_ESTADISTIQUES                               </t>
  </si>
  <si>
    <t xml:space="preserve">E13_ORG_DEP                    </t>
  </si>
  <si>
    <t xml:space="preserve">GP_INCIDENCIA                                   </t>
  </si>
  <si>
    <t xml:space="preserve">ALE_TB_ANNEX                                    </t>
  </si>
  <si>
    <t xml:space="preserve">SIITBMATRICULESXTRAMESA                         </t>
  </si>
  <si>
    <t xml:space="preserve">BO_LOG_INCIDENCIAPERSONAL                       </t>
  </si>
  <si>
    <t xml:space="preserve">VADTB_AP_PARTICIPANTS_ADJ                       </t>
  </si>
  <si>
    <t xml:space="preserve">IDATB08_AP_DOMICILI_HISTO                       </t>
  </si>
  <si>
    <t xml:space="preserve">ALUMNES_16052012                                </t>
  </si>
  <si>
    <t>RTA</t>
  </si>
  <si>
    <t xml:space="preserve">ALUMNE_VERSIO_HOST2                             </t>
  </si>
  <si>
    <t xml:space="preserve">ALUMNES_29052012                                </t>
  </si>
  <si>
    <t xml:space="preserve">ALUMNES_VERSIO_HOST                             </t>
  </si>
  <si>
    <t>En funció de la decisió de les observacions</t>
  </si>
  <si>
    <t>Cal consultar a l'ATIC si es pot eliminar l'esquema PERGAM2.</t>
  </si>
  <si>
    <t xml:space="preserve">ALE_TB_TOKEN                                    </t>
  </si>
  <si>
    <t xml:space="preserve">ADM_EST_AVALUACIOGRUPS                          </t>
  </si>
  <si>
    <t>Fa anys que no persisteixen dades, es podria netejar</t>
  </si>
  <si>
    <t xml:space="preserve">Són dades d'estadística </t>
  </si>
  <si>
    <t xml:space="preserve">PLDTB_AP_CTRS_LLOCS_OCUP                        </t>
  </si>
  <si>
    <t xml:space="preserve">ALUMNES_12012012                                </t>
  </si>
  <si>
    <t xml:space="preserve">ALUMNESBCK                                      </t>
  </si>
  <si>
    <t xml:space="preserve">PEBAX                          </t>
  </si>
  <si>
    <t xml:space="preserve">UTILS_LOG                                       </t>
  </si>
  <si>
    <t xml:space="preserve">SIITBMAT_VAL_DETALL                             </t>
  </si>
  <si>
    <t xml:space="preserve">OVT_PUBLITB_AP_COM_OVT                          </t>
  </si>
  <si>
    <t xml:space="preserve">BAE_DMA_CONCLUSIO                               </t>
  </si>
  <si>
    <t xml:space="preserve">FPPR_ACDD_CLCACTGTAF                            </t>
  </si>
  <si>
    <t xml:space="preserve">ZZTMPTB_FITXER_HOST_TRANS                       </t>
  </si>
  <si>
    <t xml:space="preserve">IDATB07_AP_DADES_ALUM_HISTO                     </t>
  </si>
  <si>
    <t xml:space="preserve">GCONTB_DA_NOMINA_DEDICACIO                      </t>
  </si>
  <si>
    <t xml:space="preserve">BAE_DMA_AVALUACIO_GLOBAL                        </t>
  </si>
  <si>
    <t xml:space="preserve">T_LOG_TIPUS_ACTIVITAT                           </t>
  </si>
  <si>
    <t xml:space="preserve">FP_HISTORIC_GPF_CORREU                          </t>
  </si>
  <si>
    <t xml:space="preserve">IDATB_MG_ALUMNES_UNI                            </t>
  </si>
  <si>
    <t xml:space="preserve">ERROR_LOG                                       </t>
  </si>
  <si>
    <t xml:space="preserve">DUPLICADO_TAULA_RESULTAT                        </t>
  </si>
  <si>
    <t>A4S</t>
  </si>
  <si>
    <t xml:space="preserve">AO_RESPOSTA                                     </t>
  </si>
  <si>
    <t xml:space="preserve">GSDTBBLOC054                                    </t>
  </si>
  <si>
    <t xml:space="preserve">TRAC_TB_PERS                                    </t>
  </si>
  <si>
    <t xml:space="preserve">OVT_PUBLITB_TP_RESULTATS                        </t>
  </si>
  <si>
    <t xml:space="preserve">OTG_MV_BALT001                                  </t>
  </si>
  <si>
    <t xml:space="preserve">VADTB_AP_SOLICITUD                              </t>
  </si>
  <si>
    <t xml:space="preserve">BKBAE_DMA_MATRICULA                             </t>
  </si>
  <si>
    <t xml:space="preserve">HST_AGD_AVA_GRUP_ITEM                           </t>
  </si>
  <si>
    <t xml:space="preserve">HTE_HISTORIAL_CAMP                              </t>
  </si>
  <si>
    <t xml:space="preserve">HTE_LOG                                         </t>
  </si>
  <si>
    <t xml:space="preserve">OTG_MV_GSDV0340_LOCESP                          </t>
  </si>
  <si>
    <t xml:space="preserve">FPPR_ACDD_LOGPROC                               </t>
  </si>
  <si>
    <t xml:space="preserve">HST_AD_TB_RESULTATS                             </t>
  </si>
  <si>
    <t xml:space="preserve">HTE_HISTORIAL                                   </t>
  </si>
  <si>
    <t xml:space="preserve">RALC_TB_AL_DOMICILI_SOL                         </t>
  </si>
  <si>
    <t xml:space="preserve">BO_LOG_CARRECPERSONAL                           </t>
  </si>
  <si>
    <t xml:space="preserve">RTT_SOLICITUD                                   </t>
  </si>
  <si>
    <t xml:space="preserve">RALC_TB_AL_TUTOR_SOLLICITUD                     </t>
  </si>
  <si>
    <t xml:space="preserve">ZZTMPTB_FITXER_HOST_BASE                        </t>
  </si>
  <si>
    <t xml:space="preserve">OLD_HST_AGD_AVA_GRUP_ITEM                       </t>
  </si>
  <si>
    <t xml:space="preserve">E13_GSD_CMD                    </t>
  </si>
  <si>
    <t xml:space="preserve">GSD_CMD_TB_LOG                                  </t>
  </si>
  <si>
    <t xml:space="preserve">GSDTBBLOC014                                    </t>
  </si>
  <si>
    <t xml:space="preserve">ADM_EST_MATRICULA                               </t>
  </si>
  <si>
    <t xml:space="preserve">E13_FDC                        </t>
  </si>
  <si>
    <t xml:space="preserve">FDC_MST_INPECTORS_X_ZONA                        </t>
  </si>
  <si>
    <t xml:space="preserve">GSDTBBLOC050                                    </t>
  </si>
  <si>
    <t xml:space="preserve">E13_GSA_PACF                   </t>
  </si>
  <si>
    <t xml:space="preserve">GSATBG00_LOG_CARREGUES                          </t>
  </si>
  <si>
    <t xml:space="preserve">BO_DPT_PERSONALSUBSTITUIT                       </t>
  </si>
  <si>
    <t>Cal conservar</t>
  </si>
  <si>
    <t xml:space="preserve">SIGMA                          </t>
  </si>
  <si>
    <t xml:space="preserve">T_FORMU_RESULTATS                               </t>
  </si>
  <si>
    <t xml:space="preserve">GSD_OPO_TB_PLACES_PAS_PRI_TMP                   </t>
  </si>
  <si>
    <t xml:space="preserve">OVT_PUBLITB_AP_SOLIC_20180427                   </t>
  </si>
  <si>
    <t xml:space="preserve">MLOG$_T_FORMU_RESULTATS                         </t>
  </si>
  <si>
    <t xml:space="preserve">BAE_LOG                                         </t>
  </si>
  <si>
    <t xml:space="preserve">ADMINXTEC                      </t>
  </si>
  <si>
    <t xml:space="preserve">TB_LOG_CANVICONTRASENYA_ACCIO                   </t>
  </si>
  <si>
    <t xml:space="preserve">BOR_ESPECIALITATS_PROFESSOR                     </t>
  </si>
  <si>
    <t xml:space="preserve">PEBAC                          </t>
  </si>
  <si>
    <t xml:space="preserve">TMP_CALCUL                                      </t>
  </si>
  <si>
    <t xml:space="preserve">BOR_PREF_COMARQUES                              </t>
  </si>
  <si>
    <t xml:space="preserve">E13_GSD_MER                    </t>
  </si>
  <si>
    <t xml:space="preserve">GSD_MER_TB_COM_LOG                              </t>
  </si>
  <si>
    <t xml:space="preserve">IDATB06_AP_MATRICULA_HISTO                      </t>
  </si>
  <si>
    <t xml:space="preserve">AO_STATS_CONJUNT_ESTADISTICS_V                  </t>
  </si>
  <si>
    <t xml:space="preserve">E13_PER                        </t>
  </si>
  <si>
    <t xml:space="preserve">PER_GTO_LOGAUX                                  </t>
  </si>
  <si>
    <t xml:space="preserve">PER_OCUPACIO                                    </t>
  </si>
  <si>
    <t xml:space="preserve">BORPASTB_AP_ENVIA_COMU                          </t>
  </si>
  <si>
    <t xml:space="preserve">PDATB_AP_INCI_LLOCS_PROP_HIST                   </t>
  </si>
  <si>
    <t xml:space="preserve">PLDTB_AP_CTRS_LLOCS                             </t>
  </si>
  <si>
    <t xml:space="preserve">GAVIS_TB_AVISOS                                 </t>
  </si>
  <si>
    <t xml:space="preserve">RTT_ALUMNE                                      </t>
  </si>
  <si>
    <t xml:space="preserve">BOR_PREF_MUNICIPIS_LOG                          </t>
  </si>
  <si>
    <t>S'esborra tot l'esquema</t>
  </si>
  <si>
    <t xml:space="preserve">AVA                            </t>
  </si>
  <si>
    <t xml:space="preserve">E13_MERLI_CER                  </t>
  </si>
  <si>
    <t xml:space="preserve">LOG_CERQUES                                     </t>
  </si>
  <si>
    <t xml:space="preserve">PLDTB_AP_CTRS_PLA_GRUPS                         </t>
  </si>
  <si>
    <t xml:space="preserve">IDATB_TP_ALUMNES_PAV                            </t>
  </si>
  <si>
    <t xml:space="preserve">OTG_MV_GPDTB848                                 </t>
  </si>
  <si>
    <t xml:space="preserve">RALC_TB_AL_DOMICILI                             </t>
  </si>
  <si>
    <t xml:space="preserve">RALC_TB_AL_TUTOR_ALUMNE_SOL                     </t>
  </si>
  <si>
    <t xml:space="preserve">PLDTB_AP_CTRS_LLOCS_VM                          </t>
  </si>
  <si>
    <t xml:space="preserve">BORPASTB_AP_COMUNICACIONS                       </t>
  </si>
  <si>
    <t xml:space="preserve">ALUMNES_GLOBAL                                  </t>
  </si>
  <si>
    <t>Es pot esborrar</t>
  </si>
  <si>
    <t xml:space="preserve">E13_RRHH                       </t>
  </si>
  <si>
    <t xml:space="preserve">VAGA_TB_LOG                                     </t>
  </si>
  <si>
    <t xml:space="preserve">RALC_TB_AL_PERSONAL                             </t>
  </si>
  <si>
    <t xml:space="preserve">PUBTB_AP_BAREMS                                 </t>
  </si>
  <si>
    <t xml:space="preserve">OTG_MV_GPDTB006                                 </t>
  </si>
  <si>
    <t xml:space="preserve">TB_S_GPD_GPDTB006                               </t>
  </si>
  <si>
    <t>Taula/Vista d'aplicació. No aplica</t>
  </si>
  <si>
    <t xml:space="preserve">E13_GES_LOE                    </t>
  </si>
  <si>
    <t xml:space="preserve">HST_GES_TB_HST_GESO_HDQ                         </t>
  </si>
  <si>
    <t xml:space="preserve">POETB100_ERROR                                  </t>
  </si>
  <si>
    <t xml:space="preserve">BOR_PROFESSORS                                  </t>
  </si>
  <si>
    <t xml:space="preserve">BORPASTB_AP_FOTO_LL_DISPONIB                    </t>
  </si>
  <si>
    <t xml:space="preserve">PUBTB_ADJ_PERSONES                              </t>
  </si>
  <si>
    <t xml:space="preserve">IDATB01_AP_DADES_ALUMNE                         </t>
  </si>
  <si>
    <t xml:space="preserve">DEBUG                                           </t>
  </si>
  <si>
    <t xml:space="preserve">TRAC_TB_GRUPSPERS                               </t>
  </si>
  <si>
    <t xml:space="preserve">HST_A4S_AVALUACIO_ALUMNE                        </t>
  </si>
  <si>
    <t xml:space="preserve">PLDTB_AP_CTRS_LLOC_DESG                         </t>
  </si>
  <si>
    <t xml:space="preserve">GSDTB_LOG_EXEC                                  </t>
  </si>
  <si>
    <t xml:space="preserve">HPSM_IMP                       </t>
  </si>
  <si>
    <t xml:space="preserve">HPSM_VM_GEPSE_EXP_INVENTARI                     </t>
  </si>
  <si>
    <t xml:space="preserve">TRAC_TB_DET_PERSONES                            </t>
  </si>
  <si>
    <t xml:space="preserve">GCONTB_TP_NOMINA                                </t>
  </si>
  <si>
    <t xml:space="preserve">OTG_MV_GSDV0370_BAREM                           </t>
  </si>
  <si>
    <t xml:space="preserve">GSD_OPO_TB_LOGS                                 </t>
  </si>
  <si>
    <t xml:space="preserve">HST_A6P_ALUMNE                                  </t>
  </si>
  <si>
    <t xml:space="preserve">HST_A6P_AVALUACIO_ALUMNE                        </t>
  </si>
  <si>
    <t xml:space="preserve">IDATB99_LOG_ERRORS                              </t>
  </si>
  <si>
    <t xml:space="preserve">POETB53_INFORME_PERSONAL                        </t>
  </si>
  <si>
    <t xml:space="preserve">RALC_TB_AL_TUTOR                                </t>
  </si>
  <si>
    <t xml:space="preserve">GGAA                           </t>
  </si>
  <si>
    <t xml:space="preserve">HISTORIC_RESPOSTESDESCRIPTORS                   </t>
  </si>
  <si>
    <t xml:space="preserve">VADTB_AP_ADJUDICACIO                            </t>
  </si>
  <si>
    <t xml:space="preserve">TRAC_TB_H2020_GRUPSPERS                         </t>
  </si>
  <si>
    <t xml:space="preserve">T_LOG_RESTRICCIO                                </t>
  </si>
  <si>
    <t xml:space="preserve">RALC_TB_AL_DOC_IDENTIFICATIU                    </t>
  </si>
  <si>
    <t xml:space="preserve">XT20_LIFERAY                   </t>
  </si>
  <si>
    <t xml:space="preserve">JOURNALARTICLE                                  </t>
  </si>
  <si>
    <t xml:space="preserve">E13_PRACTICUM                  </t>
  </si>
  <si>
    <t xml:space="preserve">PRA_LOG_ERROR                                   </t>
  </si>
  <si>
    <t xml:space="preserve">RALC_TB_AL_PERSONAL_CSEG                        </t>
  </si>
  <si>
    <t xml:space="preserve">RALC_TB_AL_PERSONAL_CSEG2                       </t>
  </si>
  <si>
    <t xml:space="preserve">EX_V_DMA_MATRICULA                              </t>
  </si>
  <si>
    <t xml:space="preserve">EXEMPLAR                                        </t>
  </si>
  <si>
    <t xml:space="preserve">HISTORIC_RESPOSTESDESCRIPTORS2                  </t>
  </si>
  <si>
    <t xml:space="preserve">PER_VINCULACIO                                  </t>
  </si>
  <si>
    <t xml:space="preserve">ALUMNES_HOST                                    </t>
  </si>
  <si>
    <t xml:space="preserve">RTT_ALUMNE_UNIC_LOG                             </t>
  </si>
  <si>
    <t>Cal conservar, No exisitex política d'esborrat</t>
  </si>
  <si>
    <t xml:space="preserve">AUT_LLIBRE                                      </t>
  </si>
  <si>
    <t xml:space="preserve">BO_LOG_OBSERVACIOPERSONAL                       </t>
  </si>
  <si>
    <t xml:space="preserve">PLDTB_AP_CTRS_CARRECS                           </t>
  </si>
  <si>
    <t xml:space="preserve">DADES_VAGA                                      </t>
  </si>
  <si>
    <t>Vaga antiga. Es pot esborrar</t>
  </si>
  <si>
    <t xml:space="preserve">HST_A4S_ALUMNE                                  </t>
  </si>
  <si>
    <t xml:space="preserve">BKBAE_DMA_CONCLUSIO                             </t>
  </si>
  <si>
    <t xml:space="preserve">OTG_MV_GSDV0230_ESPSIP                          </t>
  </si>
  <si>
    <t xml:space="preserve">E13_ECND                       </t>
  </si>
  <si>
    <t xml:space="preserve">ECNDTB06REGISTRE                                </t>
  </si>
  <si>
    <t xml:space="preserve">AUXPER_LLOCS                                    </t>
  </si>
  <si>
    <t xml:space="preserve">AUXPER_VINCULACIO                               </t>
  </si>
  <si>
    <t xml:space="preserve">BKBAE_DMA_AVALUACIO_GLOBAL                      </t>
  </si>
  <si>
    <t xml:space="preserve">E13_CARNETDOCENT               </t>
  </si>
  <si>
    <t xml:space="preserve">CARNETS                                         </t>
  </si>
  <si>
    <t xml:space="preserve">IDATB02_AP_DOMICILI                             </t>
  </si>
  <si>
    <t xml:space="preserve">FITSIT2_TMP                                     </t>
  </si>
  <si>
    <t xml:space="preserve">EX_SIIVW_SIDIE_FP_MATRICULES                    </t>
  </si>
  <si>
    <t xml:space="preserve">MAUT_LOG                                        </t>
  </si>
  <si>
    <t xml:space="preserve">GCDE_ESTADISTICA               </t>
  </si>
  <si>
    <t xml:space="preserve">SIDIEVW_QEST_MATRICULA                          </t>
  </si>
  <si>
    <t xml:space="preserve">PER_LLOCS                                       </t>
  </si>
  <si>
    <t xml:space="preserve">GSD_CMD_TB_BAREM_ALEG_SOL_LOG                   </t>
  </si>
  <si>
    <t xml:space="preserve">ALE_TB_ANNEX_RESP                               </t>
  </si>
  <si>
    <t xml:space="preserve">GSATBG104_ERROR                                 </t>
  </si>
  <si>
    <t xml:space="preserve">EX_SIDIEVW_SII_MATRICULES_ALL                   </t>
  </si>
  <si>
    <t xml:space="preserve">EX_V_DMA_MATRICULA_LLENGUES                     </t>
  </si>
  <si>
    <t xml:space="preserve">AUTOR                                           </t>
  </si>
  <si>
    <t>Politica d'esborrat anys anteriors, hi ha dades des del 2018</t>
  </si>
  <si>
    <t>Logs d'execucions de processos</t>
  </si>
  <si>
    <t xml:space="preserve">AUX_LLOCS                                       </t>
  </si>
  <si>
    <t xml:space="preserve">OTG_MV_GSDV0200_SOLIC                           </t>
  </si>
  <si>
    <t xml:space="preserve">EX_V_DMA_CONCLUSIO                              </t>
  </si>
  <si>
    <t xml:space="preserve">DESCRIPTOR                                      </t>
  </si>
  <si>
    <t xml:space="preserve">SIDIE_EX1_MATRICULA_BAL                         </t>
  </si>
  <si>
    <t xml:space="preserve">GCONTB_CO_REGISTRE                              </t>
  </si>
  <si>
    <t xml:space="preserve">GSATBG34_DETALL_CERTIFICAT                      </t>
  </si>
  <si>
    <t xml:space="preserve">RALC_TB_AL_TUTOR_ALUMNE                         </t>
  </si>
  <si>
    <t xml:space="preserve">RTT_ALUMNE_UNIC                                 </t>
  </si>
  <si>
    <t xml:space="preserve">SIITBMAT_FITXER_ANYANT                          </t>
  </si>
  <si>
    <t xml:space="preserve">BO_LOG_ERRORENTITAT                             </t>
  </si>
  <si>
    <t xml:space="preserve">TRAC_TB_LOG                                     </t>
  </si>
  <si>
    <t xml:space="preserve">ACTA_RESPOSTES_FORMADORS                        </t>
  </si>
  <si>
    <t xml:space="preserve">IDATB_TP_ALUMNES_BAL                            </t>
  </si>
  <si>
    <t xml:space="preserve">ALUMNES_GLOBAL_HISTO_BAIXA                      </t>
  </si>
  <si>
    <t xml:space="preserve">E13_PDCENTRE                   </t>
  </si>
  <si>
    <t xml:space="preserve">PDC_TB_PUNTPARTIDA                              </t>
  </si>
  <si>
    <t xml:space="preserve">RALC_TB_AL_DOC_IDENTIF_CSEG2                    </t>
  </si>
  <si>
    <t xml:space="preserve">EX_SIDIEVW_SII_MATRICULES                       </t>
  </si>
  <si>
    <t xml:space="preserve">GES_VW_HDQ_GESAPEX_VM                           </t>
  </si>
  <si>
    <t xml:space="preserve">GSD_MER_TB_LOG                                  </t>
  </si>
  <si>
    <t xml:space="preserve">E13_NOV                        </t>
  </si>
  <si>
    <t xml:space="preserve">NOV_SOL_MUNICIPIS                               </t>
  </si>
  <si>
    <t xml:space="preserve">AUXPER_SITADM                                   </t>
  </si>
  <si>
    <t xml:space="preserve">PER_SITADM                                      </t>
  </si>
  <si>
    <t xml:space="preserve">TRAC_TB_H2020_PERS                              </t>
  </si>
  <si>
    <t xml:space="preserve">RALC_TB_AL_DOC_IDENTIF_CSEG                     </t>
  </si>
  <si>
    <t xml:space="preserve">BORPASTB_AP_FOTO_LL_DADES_PERS                  </t>
  </si>
  <si>
    <t xml:space="preserve">GSD_OPO_TB_PLACES_SOL_PAS                       </t>
  </si>
  <si>
    <t xml:space="preserve">PDATB_AP_DADES_GIP_AUX                          </t>
  </si>
  <si>
    <t xml:space="preserve">AACTBVALIDACIONS                                </t>
  </si>
  <si>
    <t xml:space="preserve">OTG_MV_GSDV0240_TITOLSIP                        </t>
  </si>
  <si>
    <t xml:space="preserve">E13_PFI                        </t>
  </si>
  <si>
    <t xml:space="preserve">PQPI_TB_AVALUACIO_MODUL                         </t>
  </si>
  <si>
    <t xml:space="preserve">ADM_EST_GRUPSCLASSE                             </t>
  </si>
  <si>
    <t xml:space="preserve">BOR_PREF_SERVEIS_TERRITORIALS                   </t>
  </si>
  <si>
    <t xml:space="preserve">E13_VAD_TSYSTEM                </t>
  </si>
  <si>
    <t xml:space="preserve">T_LOGS                                          </t>
  </si>
  <si>
    <t xml:space="preserve">OLD_A4S_WS_PETICIO                              </t>
  </si>
  <si>
    <t xml:space="preserve">MSG_02_LOGS                                     </t>
  </si>
  <si>
    <t xml:space="preserve">OTG_MV_GSDV0290_ALTRESSIP                       </t>
  </si>
  <si>
    <t xml:space="preserve">ADV_MOVIMENT                                    </t>
  </si>
  <si>
    <t xml:space="preserve">PDC_TB_ACTUACIONS                               </t>
  </si>
  <si>
    <t xml:space="preserve">RTT_TITOL_ALUMNE                                </t>
  </si>
  <si>
    <t xml:space="preserve">EX_V_DMA_MATRICULA_LLENG_ESTR                   </t>
  </si>
  <si>
    <t xml:space="preserve">EX_V_DMA_MATRICULA_RELIGIO                      </t>
  </si>
  <si>
    <t xml:space="preserve">HST_GES_TB_DETALL_MODUL_ALUMNE                  </t>
  </si>
  <si>
    <t xml:space="preserve">E13_PFI2                       </t>
  </si>
  <si>
    <t xml:space="preserve">BO_DPT_PERSCENTRE_SUBSTITUIT                    </t>
  </si>
  <si>
    <t xml:space="preserve">ADVP_MOVIMENT                                   </t>
  </si>
  <si>
    <t xml:space="preserve">BOR_PREF_DISTRICTES                             </t>
  </si>
  <si>
    <t xml:space="preserve">BORPASTB_AP_DISPONIB_CANDIDATU                  </t>
  </si>
  <si>
    <t xml:space="preserve">E13_OFERTA                     </t>
  </si>
  <si>
    <t xml:space="preserve">OFETB_LOG                                       </t>
  </si>
  <si>
    <t xml:space="preserve">AO_DESCRIPTORSCONTEXT                           </t>
  </si>
  <si>
    <t xml:space="preserve">E13_GSA_EOI                    </t>
  </si>
  <si>
    <t xml:space="preserve">OTG_MV_GSDV0260_LLOCSIP                         </t>
  </si>
  <si>
    <t xml:space="preserve">E13_QEST_LLARS                 </t>
  </si>
  <si>
    <t xml:space="preserve">E13_GIN                        </t>
  </si>
  <si>
    <t xml:space="preserve">GINTB19CARTES                                   </t>
  </si>
  <si>
    <t xml:space="preserve">BOR_TELEFONS                                    </t>
  </si>
  <si>
    <t xml:space="preserve">TRAC_TB_GLOBAL                                  </t>
  </si>
  <si>
    <t xml:space="preserve">GSATBG27_DETALL_EXPEDIENT                       </t>
  </si>
  <si>
    <t xml:space="preserve">OTG_MV_GSDV0330_ESP                             </t>
  </si>
  <si>
    <t xml:space="preserve">OTG_MV_GSDV0400_INCAUT                          </t>
  </si>
  <si>
    <t xml:space="preserve">EDIT_LLIBRE                                     </t>
  </si>
  <si>
    <t xml:space="preserve">BO_DPT_PERSONALCENTRE                           </t>
  </si>
  <si>
    <t xml:space="preserve">ALUM_GLOBAL_POST                                </t>
  </si>
  <si>
    <t xml:space="preserve">GSD_MER_TB_SOL_FORM_PERM_GEST                   </t>
  </si>
  <si>
    <t xml:space="preserve">HST_AD_TB_ALUMNE                                </t>
  </si>
  <si>
    <t xml:space="preserve">BAE_DMA_MATRICULA_FP                            </t>
  </si>
  <si>
    <t xml:space="preserve">ALE_TB_TRAMIT                                   </t>
  </si>
  <si>
    <t xml:space="preserve">GCONTB_CO_MISSATGES                             </t>
  </si>
  <si>
    <t xml:space="preserve">BKP_RALC_TB_AL_TUTOR                            </t>
  </si>
  <si>
    <t xml:space="preserve">BFGH_INT_LOCAL                 </t>
  </si>
  <si>
    <t xml:space="preserve">TB_RALC_ALUMNE                                  </t>
  </si>
  <si>
    <t xml:space="preserve">T_FOR_ERR_LOG                                   </t>
  </si>
  <si>
    <t xml:space="preserve">NOVACO_SOLICITUD_MUN_AMBITS                     </t>
  </si>
  <si>
    <t xml:space="preserve">AUXPER_PERFILS                                  </t>
  </si>
  <si>
    <t xml:space="preserve">EXPORTACIO_WEB_GIP                              </t>
  </si>
  <si>
    <t xml:space="preserve">GSDTBBLOC016                                    </t>
  </si>
  <si>
    <t xml:space="preserve">PER_PERFILS                                     </t>
  </si>
  <si>
    <t xml:space="preserve">GCONTB_MG_LOG                                   </t>
  </si>
  <si>
    <t xml:space="preserve">LLENGUA_LLIBRE                                  </t>
  </si>
  <si>
    <t xml:space="preserve">GSDTBFOTO_TRASLLATS_BAREM                       </t>
  </si>
  <si>
    <t xml:space="preserve">GSD_MER_TB_SOL_FORM_PERM_REG                    </t>
  </si>
  <si>
    <t xml:space="preserve">VADTB_AP_FASE_SOLICITUD                         </t>
  </si>
  <si>
    <t xml:space="preserve">OFE_OFERTA_CARREGA                              </t>
  </si>
  <si>
    <t xml:space="preserve">DR$RALC_TB_AL_PERSONAL_CTX$I                    </t>
  </si>
  <si>
    <t xml:space="preserve">TMETB15PERSONALXESPECIALITAT                    </t>
  </si>
  <si>
    <t xml:space="preserve">HST_A6P_AVALUACIO_CENTRE                        </t>
  </si>
  <si>
    <t xml:space="preserve">IDATB03_AP_ALU_MATRICULA                        </t>
  </si>
  <si>
    <t xml:space="preserve">OFETB_DADES_FORM_PAS                            </t>
  </si>
  <si>
    <t xml:space="preserve">RALC_TB_AL_NOTA                                 </t>
  </si>
  <si>
    <t xml:space="preserve">SOLICITUD                                       </t>
  </si>
  <si>
    <t xml:space="preserve">CDU                                             </t>
  </si>
  <si>
    <t xml:space="preserve">E13_INSITU                     </t>
  </si>
  <si>
    <t xml:space="preserve">SITU_INTERVENCIONS_ACTUACIO                     </t>
  </si>
  <si>
    <t xml:space="preserve">RESPOSTESDESCRIPTORS                            </t>
  </si>
  <si>
    <t xml:space="preserve">GSD_MER_TB_SOL_EXP_DOC_GEST                     </t>
  </si>
  <si>
    <t xml:space="preserve">GSD_MER_TB_SOL_EXP_DOC_REG                      </t>
  </si>
  <si>
    <t xml:space="preserve">AUX_CERTIFDS                                    </t>
  </si>
  <si>
    <t xml:space="preserve">HST_AVI_ALUMNE                                  </t>
  </si>
  <si>
    <t xml:space="preserve">OVT_PUBLITB_TP_RESULTATS2                       </t>
  </si>
  <si>
    <t xml:space="preserve">E13_PQPI                       </t>
  </si>
  <si>
    <t xml:space="preserve">E13_MBAE                       </t>
  </si>
  <si>
    <t xml:space="preserve">MBA_SOLLICITUD                                  </t>
  </si>
  <si>
    <t xml:space="preserve">E13_GSD_ESP                    </t>
  </si>
  <si>
    <t xml:space="preserve">GSD_ESPE_TB_LOG                                 </t>
  </si>
  <si>
    <t xml:space="preserve">GSD_MER_TB_SOL_BAREM_GEST                       </t>
  </si>
  <si>
    <t xml:space="preserve">PER_CARREGA                                     </t>
  </si>
  <si>
    <t xml:space="preserve">A_EXTRACCIO_NIF                                 </t>
  </si>
  <si>
    <t xml:space="preserve">IDATB_TP_ALUMNES_SAGA                           </t>
  </si>
  <si>
    <t xml:space="preserve">ZZTMPTB_FITXER_HOST_T_PAS1                      </t>
  </si>
  <si>
    <t xml:space="preserve">EX_V_DMA_AVALUACIO_GLOBAL                       </t>
  </si>
  <si>
    <t xml:space="preserve">GEDACPRE_PUBL_OFERTA                            </t>
  </si>
  <si>
    <t xml:space="preserve">PRA_LOG_CARREGA_DETALL                          </t>
  </si>
  <si>
    <t xml:space="preserve">RLE_TYPEFORM_USUARI                             </t>
  </si>
  <si>
    <t xml:space="preserve">TRAC_TB_VACUNA                                  </t>
  </si>
  <si>
    <t xml:space="preserve">AD_TB_ALUMNE                                    </t>
  </si>
  <si>
    <t xml:space="preserve">HST_A6P_AVALUACIO_CENTRE_ANT                    </t>
  </si>
  <si>
    <t xml:space="preserve">OLD_HST_AGD_ALUMNE                              </t>
  </si>
  <si>
    <t xml:space="preserve">OTG_LOG                                         </t>
  </si>
  <si>
    <t xml:space="preserve">E13_QOF                        </t>
  </si>
  <si>
    <t xml:space="preserve">QOF_RESPOSTES_DETALL                            </t>
  </si>
  <si>
    <t xml:space="preserve">BKP_RALC_TB_AL_TUTOR_ALUMNE                     </t>
  </si>
  <si>
    <t xml:space="preserve">E13_RECE                       </t>
  </si>
  <si>
    <t xml:space="preserve">EX_V_DMA_GRUP_PROFESSOR_EL_MAT                  </t>
  </si>
  <si>
    <t xml:space="preserve">EX_V_DMA_MATRICULA_EINF_EPRI                    </t>
  </si>
  <si>
    <t xml:space="preserve">GSDTB_ALEGACIONS_MERITS                         </t>
  </si>
  <si>
    <t xml:space="preserve">GSD_MER_TB_REV_BAREM_TRI                        </t>
  </si>
  <si>
    <t xml:space="preserve">GSD_MER_TB_VAL_BAREM_TRI                        </t>
  </si>
  <si>
    <t xml:space="preserve">GTO_BAREMS                                      </t>
  </si>
  <si>
    <t xml:space="preserve">GP_CANVIS_DE_GIP_A_GP                           </t>
  </si>
  <si>
    <t xml:space="preserve">PER_CARREC                                      </t>
  </si>
  <si>
    <t xml:space="preserve">IDATB_TP_ALUMNES_CATSALUT                       </t>
  </si>
  <si>
    <t xml:space="preserve">E13_MERLI                      </t>
  </si>
  <si>
    <t xml:space="preserve">MER_RECURS                                      </t>
  </si>
  <si>
    <t xml:space="preserve">OTG_MV_DCCT001                                  </t>
  </si>
  <si>
    <t xml:space="preserve">ALUM_GP_DADES_ACAD                              </t>
  </si>
  <si>
    <t xml:space="preserve">ASSIGNACIO                                      </t>
  </si>
  <si>
    <t xml:space="preserve">ADM_EST_QUESTIONARISINSPECCIO                   </t>
  </si>
  <si>
    <t xml:space="preserve">E13_BAR                        </t>
  </si>
  <si>
    <t xml:space="preserve">BARTB02CARREGA_GIP                              </t>
  </si>
  <si>
    <t xml:space="preserve">AUXPER_CERTIFDS                                 </t>
  </si>
  <si>
    <t xml:space="preserve">BOR_INCIDENCIA                                  </t>
  </si>
  <si>
    <t xml:space="preserve">GSD_MER_TB_SOL_BAREM_REG                        </t>
  </si>
  <si>
    <t xml:space="preserve">PER_CERTIFDS                                    </t>
  </si>
  <si>
    <t xml:space="preserve">HST_AGD_ALUMNE_RALC                             </t>
  </si>
  <si>
    <t xml:space="preserve">E13_GEL                        </t>
  </si>
  <si>
    <t xml:space="preserve">HST_AVI_RESULTATS                               </t>
  </si>
  <si>
    <t xml:space="preserve">OTG_MV_CDEV0030                                 </t>
  </si>
  <si>
    <t xml:space="preserve">E13_PAV_SIDENT                 </t>
  </si>
  <si>
    <t xml:space="preserve">SESIONS                                         </t>
  </si>
  <si>
    <t xml:space="preserve">TB_PERGAM_USUARIS_EDU_20130915                  </t>
  </si>
  <si>
    <t xml:space="preserve">AUXPER_CARREC                                   </t>
  </si>
  <si>
    <t xml:space="preserve">FPPR_LOG_MISSATGE                               </t>
  </si>
  <si>
    <t xml:space="preserve">PDATB_AP_LOGS                                   </t>
  </si>
  <si>
    <t xml:space="preserve">PUBTB_ADJ_CGH                                   </t>
  </si>
  <si>
    <t xml:space="preserve">VAGA_TB_TLLCTREPLT                              </t>
  </si>
  <si>
    <t>No exisiteix política d'esborrat</t>
  </si>
  <si>
    <t xml:space="preserve">GCONTB_TP_EMAILS                                </t>
  </si>
  <si>
    <t xml:space="preserve">HTE_SOLICITUD                                   </t>
  </si>
  <si>
    <t xml:space="preserve">OTG_MV_GSDV0280_CONEIXSIP                       </t>
  </si>
  <si>
    <t xml:space="preserve">SOLIC_CRITERIS                                  </t>
  </si>
  <si>
    <t xml:space="preserve">POETB33_NOTICIA                                 </t>
  </si>
  <si>
    <t xml:space="preserve">IDENTIFICACIONS                                 </t>
  </si>
  <si>
    <t xml:space="preserve">TB_PERGAM_USUARIS_EDU_365                       </t>
  </si>
  <si>
    <t xml:space="preserve">T_FOR_RESTRICCIO                                </t>
  </si>
  <si>
    <t xml:space="preserve">ADV_MOVIMENT_NO_SOLIC                           </t>
  </si>
  <si>
    <t xml:space="preserve">NOVACO_EXPORTACIO_GIP                           </t>
  </si>
  <si>
    <t xml:space="preserve">GSD_CMD_TB_DOC_FORMACIO                         </t>
  </si>
  <si>
    <t xml:space="preserve">PDATB_AP_ESPECIALITAT_DOCENT                    </t>
  </si>
  <si>
    <t xml:space="preserve">PLDTB_AP_CTRS_CARRECS_OCUP                      </t>
  </si>
  <si>
    <t xml:space="preserve">TRAC_TB_CARREGA_VACUNA_TEMP                     </t>
  </si>
  <si>
    <t xml:space="preserve">PROFESSORS                                      </t>
  </si>
  <si>
    <t xml:space="preserve">INSPECCIO                      </t>
  </si>
  <si>
    <t xml:space="preserve">ANUAL_P1_30_ALUMNES_NEE                         </t>
  </si>
  <si>
    <t xml:space="preserve">BKBAE_DMA_MATRICULA_FP                          </t>
  </si>
  <si>
    <t xml:space="preserve">E13_BAG                        </t>
  </si>
  <si>
    <t xml:space="preserve">BAG_FAMILIARS                                   </t>
  </si>
  <si>
    <t xml:space="preserve">E13_GSA_RHA                    </t>
  </si>
  <si>
    <t xml:space="preserve">GSATBR41_CSV_TMP_UPLOAD                         </t>
  </si>
  <si>
    <t xml:space="preserve">EX_V_DMA_GRUP_ELEM_MAT                          </t>
  </si>
  <si>
    <t xml:space="preserve">PETICIOXSOLICITUD                               </t>
  </si>
  <si>
    <t xml:space="preserve">IDI_TB_CARREGA_ALIES                            </t>
  </si>
  <si>
    <t xml:space="preserve">USAV                           </t>
  </si>
  <si>
    <t xml:space="preserve">BO_DPT_CARRECPERSONAL                           </t>
  </si>
  <si>
    <t xml:space="preserve">IP_LOG                                          </t>
  </si>
  <si>
    <t xml:space="preserve">SIGMA2                         </t>
  </si>
  <si>
    <t xml:space="preserve">PER_PERSONES                                    </t>
  </si>
  <si>
    <t xml:space="preserve">VADTB_AP_PETICIONS_ADJ                          </t>
  </si>
  <si>
    <t xml:space="preserve">GSD_OPO_TB_SOL_GEST                             </t>
  </si>
  <si>
    <t xml:space="preserve">AUXPER_PERSONES                                 </t>
  </si>
  <si>
    <t xml:space="preserve">ANUAL_P1_24_PROFES                              </t>
  </si>
  <si>
    <t xml:space="preserve">GSATBG28_AVALUACIO_LOE                          </t>
  </si>
  <si>
    <t xml:space="preserve">GSATBG28_AVALUACIO_LOE_060524                   </t>
  </si>
  <si>
    <t>Taula de backup sol·licituda en un AGIN ja resolt</t>
  </si>
  <si>
    <t xml:space="preserve">GSATBG28_AVALUACIO_LOE_251024                   </t>
  </si>
  <si>
    <t xml:space="preserve">E13_GSA_EEM                    </t>
  </si>
  <si>
    <t xml:space="preserve">HST_AD_RESULTAT                                 </t>
  </si>
  <si>
    <t xml:space="preserve">OVT_PUBLITB_ITP_SOLICIT_190618                  </t>
  </si>
  <si>
    <t xml:space="preserve">HST_A4S_AVALUACIO_CENTRE                        </t>
  </si>
  <si>
    <t xml:space="preserve">T_USUARIS_XTEC                                  </t>
  </si>
  <si>
    <t xml:space="preserve">E13_AGAI                       </t>
  </si>
  <si>
    <t xml:space="preserve">HST_AGAI_CERTIFICATS                            </t>
  </si>
  <si>
    <t xml:space="preserve">BARTB922CARRECS                                 </t>
  </si>
  <si>
    <t xml:space="preserve">BOR_CENTRES_ESPECIALS                           </t>
  </si>
  <si>
    <t xml:space="preserve">BOR_PREF_ST                                     </t>
  </si>
  <si>
    <t xml:space="preserve">BORPASTB_AP_CANDIDATS                           </t>
  </si>
  <si>
    <t xml:space="preserve">GSDTBBLOC001                                    </t>
  </si>
  <si>
    <t xml:space="preserve">E13_LLICENCIES                 </t>
  </si>
  <si>
    <t xml:space="preserve">LLITB_07_CARREGA_GIP_BAREMS                     </t>
  </si>
  <si>
    <t xml:space="preserve">PDATB_AP_PROPOSTES_HIST                         </t>
  </si>
  <si>
    <t xml:space="preserve">AO_DESCRIPTORSINSTRUMENTS                       </t>
  </si>
  <si>
    <t xml:space="preserve">VADTB_CA_P_PETICIONS                            </t>
  </si>
  <si>
    <t xml:space="preserve">VADTB_CA_PETICIONS                              </t>
  </si>
  <si>
    <t xml:space="preserve">E13_EDUCERCA                   </t>
  </si>
  <si>
    <t xml:space="preserve">ITEM                                            </t>
  </si>
  <si>
    <t xml:space="preserve">BAG_SOLICITUDS                                  </t>
  </si>
  <si>
    <t xml:space="preserve">GSATBI19CONV_SOL_CGS                            </t>
  </si>
  <si>
    <t xml:space="preserve">OTG_MV_GSDV0250_VINCSIP                         </t>
  </si>
  <si>
    <t xml:space="preserve">OVT_PUBLITB_ITP_SOLIC_20180427                  </t>
  </si>
  <si>
    <t xml:space="preserve">ALUM_GLOBAL_POST_BAIXA                          </t>
  </si>
  <si>
    <t xml:space="preserve">PDC_TB_OBJECTIUS                                </t>
  </si>
  <si>
    <t xml:space="preserve">SIITB_SG_AVAL                                   </t>
  </si>
  <si>
    <t xml:space="preserve">SIITB_SG_TUTOR                                  </t>
  </si>
  <si>
    <t xml:space="preserve">OFERTA_CENTRE                                   </t>
  </si>
  <si>
    <t xml:space="preserve">NIVELL_LLIBRE                                   </t>
  </si>
  <si>
    <t xml:space="preserve">E13_JIRA                       </t>
  </si>
  <si>
    <t xml:space="preserve">CHANGEITEM                                      </t>
  </si>
  <si>
    <t xml:space="preserve">MER_REC_LANG                                    </t>
  </si>
  <si>
    <t xml:space="preserve">FLOWS_FILES                    </t>
  </si>
  <si>
    <t xml:space="preserve">WWV_FLOW_FILE_OBJECTS$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</si>
</sst>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242424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/>
    <xf numFmtId="0" fontId="2" fillId="0" borderId="3" xfId="0" applyFont="1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/>
    <xf numFmtId="0" fontId="2" fillId="2" borderId="0" xfId="0" applyFont="1" applyFill="1"/>
    <xf numFmtId="0" fontId="2" fillId="0" borderId="0" xfId="0" applyFon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2" fillId="2" borderId="0" xfId="0" applyFont="1" applyFill="1" applyAlignment="1">
      <alignment wrapText="1"/>
    </xf>
    <xf numFmtId="0" fontId="0" fillId="0" borderId="0" xfId="0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0" fillId="3" borderId="0" xfId="0" applyFill="1"/>
    <xf numFmtId="0" fontId="0" fillId="3" borderId="0" xfId="0" applyFill="1" applyAlignment="1">
      <alignment wrapText="1"/>
    </xf>
    <xf numFmtId="0" fontId="5" fillId="0" borderId="2" xfId="0" applyFont="1" applyBorder="1" applyAlignment="1">
      <alignment horizontal="center"/>
    </xf>
    <xf numFmtId="0" fontId="0" fillId="5" borderId="1" xfId="0" applyFill="1" applyBorder="1"/>
    <xf numFmtId="0" fontId="2" fillId="5" borderId="1" xfId="0" applyFont="1" applyFill="1" applyBorder="1"/>
    <xf numFmtId="0" fontId="0" fillId="0" borderId="4" xfId="0" applyBorder="1"/>
    <xf numFmtId="0" fontId="0" fillId="5" borderId="4" xfId="0" applyFill="1" applyBorder="1"/>
    <xf numFmtId="0" fontId="3" fillId="2" borderId="4" xfId="0" applyFont="1" applyFill="1" applyBorder="1"/>
    <xf numFmtId="0" fontId="2" fillId="2" borderId="4" xfId="0" applyFont="1" applyFill="1" applyBorder="1"/>
    <xf numFmtId="0" fontId="2" fillId="5" borderId="4" xfId="0" applyFont="1" applyFill="1" applyBorder="1"/>
    <xf numFmtId="0" fontId="3" fillId="0" borderId="4" xfId="0" applyFont="1" applyBorder="1"/>
    <xf numFmtId="0" fontId="2" fillId="0" borderId="4" xfId="0" applyFont="1" applyBorder="1"/>
    <xf numFmtId="0" fontId="0" fillId="6" borderId="0" xfId="0" applyFill="1"/>
    <xf numFmtId="0" fontId="0" fillId="7" borderId="0" xfId="0" applyFill="1"/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0" fontId="0" fillId="7" borderId="3" xfId="0" applyFill="1" applyBorder="1"/>
    <xf numFmtId="0" fontId="0" fillId="8" borderId="0" xfId="0" applyFill="1"/>
    <xf numFmtId="0" fontId="6" fillId="6" borderId="0" xfId="0" applyFont="1" applyFill="1"/>
    <xf numFmtId="0" fontId="0" fillId="0" borderId="0" xfId="0" applyAlignment="1">
      <alignment horizontal="center" vertical="top"/>
    </xf>
    <xf numFmtId="0" fontId="3" fillId="2" borderId="0" xfId="0" applyFont="1" applyFill="1"/>
    <xf numFmtId="0" fontId="3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3" xfId="0" applyBorder="1" applyAlignment="1">
      <alignment wrapText="1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54.444194444448" createdVersion="8" refreshedVersion="8" minRefreshableVersion="3" recordCount="515" xr:uid="{ECD32FAD-A99C-4B0A-BF63-FF2FBEF589E2}">
  <cacheSource type="worksheet">
    <worksheetSource name="new_212__3"/>
  </cacheSource>
  <cacheFields count="10">
    <cacheField name="OWNER" numFmtId="0">
      <sharedItems count="117">
        <s v="E13_CWS                        "/>
        <s v="E13_AWA                        "/>
        <s v="IDI                            "/>
        <s v="GEDAC                          "/>
        <s v="ADMXTEC                        "/>
        <s v="GAFADM                         "/>
        <s v="E13_GICARSM                    "/>
        <s v="E13_SSO_SM                     "/>
        <s v="E13_OVT_PUBLI                  "/>
        <s v="E13_RALC                       "/>
        <s v="E13_SML                        "/>
        <s v="PAEC                           "/>
        <s v="E13_MSG                        "/>
        <s v="E13_VAD                        "/>
        <s v="E13_HST_A6P                    "/>
        <s v="E13_PLD                        "/>
        <s v="E13_BAE                        "/>
        <s v="E13_AGD                        "/>
        <s v="SAGA_CENTRAL                   "/>
        <s v="E13_A6P                        "/>
        <s v="E13_A4S                        "/>
        <s v="E13_AAC_PREINS                 "/>
        <s v="GAVIS                          "/>
        <s v="E13_OFE_EDU                    "/>
        <s v="E13_SIDIE                      "/>
        <s v="E13_GSA_NUCLI                  "/>
        <s v="E13_RLE                        "/>
        <s v="ADMCTRL                        "/>
        <s v="E13_POE                        "/>
        <s v="E13_CAT_PROF                   "/>
        <s v="VFS_NICE_264                   "/>
        <s v="E13_SII                        "/>
        <s v="E13_GTO                        "/>
        <s v="E13_BORPAS                     "/>
        <s v="E13_FPPR                       "/>
        <s v="E13_SUPERVISIO                 "/>
        <s v="PERGAM                         "/>
        <s v="E13_ESPINA_BD                  "/>
        <s v="E13_GSD_ESTIU                  "/>
        <s v="E13_GCON                       "/>
        <s v="E13_IDA                        "/>
        <s v="E13_BOR                        "/>
        <s v="E13_RTT                        "/>
        <s v="E13_GSA_INS                    "/>
        <s v="E13_ID_SUBSC                   "/>
        <s v="E13_FORMACIO                   "/>
        <s v="E13_GSD_OPO                    "/>
        <s v="E13_GUAC                       "/>
        <s v="E13_TME                        "/>
        <s v="E13_OTG                        "/>
        <s v="REGISTREFOR                    "/>
        <s v="E13_PUB                        "/>
        <s v="E13_FIE                        "/>
        <s v="E13_RTA                        "/>
        <s v="E13_HTE                        "/>
        <s v="AD                             "/>
        <s v="E13_PDA                        "/>
        <s v="INTRAPIEADM                    "/>
        <s v="E13_ORG_DEP                    "/>
        <s v="PERGAM2                        "/>
        <s v="PEBAX                          "/>
        <s v="E13_GSD_CMD                    "/>
        <s v="E13_FDC                        "/>
        <s v="E13_GSA_PACF                   "/>
        <s v="SIGMA                          "/>
        <s v="ADMINXTEC                      "/>
        <s v="PEBAC                          "/>
        <s v="E13_GSD_MER                    "/>
        <s v="E13_PER                        "/>
        <s v="E13_BOR_CMO                    "/>
        <s v="AVA                            "/>
        <s v="E13_MERLI_CER                  "/>
        <s v="E13_PAV                        "/>
        <s v="E13_RRHH                       "/>
        <s v="E13_BOR2                       "/>
        <s v="E13_GES_LOE                    "/>
        <s v="HPSM_IMP                       "/>
        <s v="GGAA                           "/>
        <s v="XT20_LIFERAY                   "/>
        <s v="E13_PRACTICUM                  "/>
        <s v="E13_ECND                       "/>
        <s v="E13_CARNETDOCENT               "/>
        <s v="GCDE_ESTADISTICA               "/>
        <s v="E13_MFLEX                      "/>
        <s v="E13_PDCENTRE                   "/>
        <s v="E13_NOV                        "/>
        <s v="E13_PFI                        "/>
        <s v="E13_VAD_TSYSTEM                "/>
        <s v="E13_PFI2                       "/>
        <s v="E13_OFERTA                     "/>
        <s v="E13_GSA_EOI                    "/>
        <s v="E13_QEST_LLARS                 "/>
        <s v="E13_GIN                        "/>
        <s v="BFGH_INT_LOCAL                 "/>
        <s v="E13_INSITU                     "/>
        <s v="E13_OFERTA_BCK                 "/>
        <s v="E13_PQPI                       "/>
        <s v="E13_MBAE                       "/>
        <s v="E13_GSD_ESP                    "/>
        <s v="E13_GSA_ACR                    "/>
        <s v="E13_QOF                        "/>
        <s v="E13_RECE                       "/>
        <s v="E13_MERLI                      "/>
        <s v="E13_BAR                        "/>
        <s v="E13_GEL                        "/>
        <s v="E13_PAV_SIDENT                 "/>
        <s v="INSPECCIO                      "/>
        <s v="E13_BAG                        "/>
        <s v="E13_GSA_RHA                    "/>
        <s v="USAV                           "/>
        <s v="SIGMA2                         "/>
        <s v="E13_GSA_EEM                    "/>
        <s v="E13_AGAI                       "/>
        <s v="E13_LLICENCIES                 "/>
        <s v="E13_EDUCERCA                   "/>
        <s v="E13_JIRA                       "/>
        <s v="FLOWS_FILES                    "/>
      </sharedItems>
    </cacheField>
    <cacheField name="TABLE                                           " numFmtId="0">
      <sharedItems/>
    </cacheField>
    <cacheField name="MBYTES" numFmtId="0">
      <sharedItems containsSemiMixedTypes="0" containsString="0" containsNumber="1" containsInteger="1" minValue="80" maxValue="468851"/>
    </cacheField>
    <cacheField name="GBBytes" numFmtId="0">
      <sharedItems containsSemiMixedTypes="0" containsString="0" containsNumber="1" minValue="7.8125E-2" maxValue="457.8623046875"/>
    </cacheField>
    <cacheField name="Es pot eliminar?" numFmtId="0">
      <sharedItems containsBlank="1" count="4">
        <s v="No"/>
        <m/>
        <s v="Sí"/>
        <s v="??"/>
      </sharedItems>
    </cacheField>
    <cacheField name="Lot" numFmtId="0">
      <sharedItems containsBlank="1"/>
    </cacheField>
    <cacheField name="Política esborrat/conservació?" numFmtId="0">
      <sharedItems containsBlank="1"/>
    </cacheField>
    <cacheField name="Observacions" numFmtId="0">
      <sharedItems containsBlank="1"/>
    </cacheField>
    <cacheField name="Aplicació" numFmtId="0">
      <sharedItems containsBlank="1"/>
    </cacheField>
    <cacheField name="GS" numFmtId="0">
      <sharedItems containsBlank="1" count="7">
        <m/>
        <s v="Oscar Mendez"/>
        <s v="Andrea Cánovas"/>
        <s v="Traspàs recent"/>
        <s v="Jordi Sala"/>
        <s v="??"/>
        <s v="Raquel Mestr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84.643014351852" createdVersion="8" refreshedVersion="8" minRefreshableVersion="3" recordCount="254" xr:uid="{CF625CF0-64B2-4ED0-B798-45D699B0E6EB}">
  <cacheSource type="worksheet">
    <worksheetSource name="Taula5"/>
  </cacheSource>
  <cacheFields count="9">
    <cacheField name="Owner" numFmtId="0">
      <sharedItems count="254">
        <s v="AD                                 "/>
        <s v="ADMCTRL                            "/>
        <s v="ADMINXTEC                          "/>
        <s v="ADMXTEC                            "/>
        <s v="ADSL                               "/>
        <s v="AIDA                               "/>
        <s v="AM10_38136279W                     "/>
        <s v="APEX_200200                        "/>
        <s v="APEX_SSO                           "/>
        <s v="AUDITORI                           "/>
        <s v="AUDSYS                             "/>
        <s v="AVA                                "/>
        <s v="BFGH_INT_LOCAL                     "/>
        <s v="BIPUBSCHED                         "/>
        <s v="CLIC                               "/>
        <s v="DBSFWUSER                          "/>
        <s v="DIRCENT                            "/>
        <s v="DUPLIXTEC                          "/>
        <s v="E13_A4S                            "/>
        <s v="E13_A6P                            "/>
        <s v="E13_AAC_PREINS                     "/>
        <s v="E13_ACO                            "/>
        <s v="E13_ADPD                           "/>
        <s v="E13_AFD                            "/>
        <s v="E13_AGAI                           "/>
        <s v="E13_AGD                            "/>
        <s v="E13_AGIN                           "/>
        <s v="E13_AJUTS                          "/>
        <s v="E13_APACTIU                        "/>
        <s v="E13_APBLOE                         "/>
        <s v="E13_APD_0607                       "/>
        <s v="E13_APE                            "/>
        <s v="E13_APE_1011                       "/>
        <s v="E13_APE_1112                       "/>
        <s v="E13_APE_1213                       "/>
        <s v="E13_ASAELE                         "/>
        <s v="E13_ASD                            "/>
        <s v="E13_ASD_PUBLI                      "/>
        <s v="E13_ASI                            "/>
        <s v="E13_AUP                            "/>
        <s v="E13_AWA                            "/>
        <s v="E13_BAE                            "/>
        <s v="E13_BAG                            "/>
        <s v="E13_BAL_HST                        "/>
        <s v="E13_BAR                            "/>
        <s v="E13_BO_NICE                        "/>
        <s v="E13_BOR                            "/>
        <s v="E13_BOR_CMO                        "/>
        <s v="E13_BOR2                           "/>
        <s v="E13_BORPAS                         "/>
        <s v="E13_CAMPS                          "/>
        <s v="E13_CAPCHA                         "/>
        <s v="E13_CARNETDOCENT                   "/>
        <s v="E13_CARTERA                        "/>
        <s v="E13_CAT_PROF                       "/>
        <s v="E13_CAT_SERVEIS                    "/>
        <s v="E13_CED                            "/>
        <s v="E13_CFP                            "/>
        <s v="E13_CMD_GES                        "/>
        <s v="E13_CMF                            "/>
        <s v="E13_CON_MENORS                     "/>
        <s v="E13_CONSELLERIA                    "/>
        <s v="E13_CONV                           "/>
        <s v="E13_CONVOVT                        "/>
        <s v="E13_CORALS                         "/>
        <s v="E13_CSF                            "/>
        <s v="E13_CWS                            "/>
        <s v="E13_D1X1                           "/>
        <s v="E13_DMA_ATIC                       "/>
        <s v="E13_ECND                           "/>
        <s v="E13_EDUCERCA                       "/>
        <s v="E13_EDUROAM                        "/>
        <s v="E13_ENQ                            "/>
        <s v="E13_ESE                            "/>
        <s v="E13_ESPINA_BD                      "/>
        <s v="E13_FDC                            "/>
        <s v="E13_FIE                            "/>
        <s v="E13_FORMACIO                       "/>
        <s v="E13_FORMACIO_GAF                   "/>
        <s v="E13_FPPR                           "/>
        <s v="E13_GAP                            "/>
        <s v="E13_GCON                           "/>
        <s v="E13_GCONV                          "/>
        <s v="E13_GEL                            "/>
        <s v="E13_GES_LOE                        "/>
        <s v="E13_GESATIC                        "/>
        <s v="E13_GESTILS                        "/>
        <s v="E13_GESTIO_EDIFICI                 "/>
        <s v="E13_GICARSM                        "/>
        <s v="E13_GIN                            "/>
        <s v="E13_GRIP                           "/>
        <s v="E13_GSA                            "/>
        <s v="E13_GSA_AAC                        "/>
        <s v="E13_GSA_ACR                        "/>
        <s v="E13_GSA_AUC                        "/>
        <s v="E13_GSA_CFI                        "/>
        <s v="E13_GSA_CONF                       "/>
        <s v="E13_GSA_EEM                        "/>
        <s v="E13_GSA_EOI                        "/>
        <s v="E13_GSA_GES                        "/>
        <s v="E13_GSA_INS                        "/>
        <s v="E13_GSA_NUCLI                      "/>
        <s v="E13_GSA_PACF                       "/>
        <s v="E13_GSA_RHA                        "/>
        <s v="E13_GSA_UC                         "/>
        <s v="E13_GSD_AJUTS                      "/>
        <s v="E13_GSD_AVALDOC                    "/>
        <s v="E13_GSD_CAT_CON                    "/>
        <s v="E13_GSD_CMD                        "/>
        <s v="E13_GSD_ESP                        "/>
        <s v="E13_GSD_ESTIU                      "/>
        <s v="E13_GSD_LLENGUES                   "/>
        <s v="E13_GSD_LLICENCIES                 "/>
        <s v="E13_GSD_LLICENCIES_D               "/>
        <s v="E13_GSD_MER                        "/>
        <s v="E13_GSD_OPO                        "/>
        <s v="E13_GSD_REL                        "/>
        <s v="E13_GTE                            "/>
        <s v="E13_GTE_ANE                        "/>
        <s v="E13_GTE_CAT                        "/>
        <s v="E13_GTE_PAS                        "/>
        <s v="E13_GTO                            "/>
        <s v="E13_GUAC                           "/>
        <s v="E13_HST_A6P                        "/>
        <s v="E13_HTE                            "/>
        <s v="E13_ID_SUBSC                       "/>
        <s v="E13_IDA                            "/>
        <s v="E13_INAPDEP                        "/>
        <s v="E13_INSITU                         "/>
        <s v="E13_INSPECCIO                      "/>
        <s v="E13_JIRA                           "/>
        <s v="E13_LLENGUES                       "/>
        <s v="E13_LLICENCIES                     "/>
        <s v="E13_MAPAES                         "/>
        <s v="E13_MAPAOE                         "/>
        <s v="E13_MAPAPRE                        "/>
        <s v="E13_MAPAPRO                        "/>
        <s v="E13_MBAE                           "/>
        <s v="E13_MERLI                          "/>
        <s v="E13_MERLI_CER                      "/>
        <s v="E13_MERLI_DUC                      "/>
        <s v="E13_MERLI_ORG                      "/>
        <s v="E13_MFLEX                          "/>
        <s v="E13_MSG                            "/>
        <s v="E13_MTC                            "/>
        <s v="E13_NOV                            "/>
        <s v="E13_OFE_EDU                        "/>
        <s v="E13_OFERTA                         "/>
        <s v="E13_OFERTA_BCK                     "/>
        <s v="E13_OPO                            "/>
        <s v="E13_OPOSPAS                        "/>
        <s v="E13_ORAT                           "/>
        <s v="E13_ORG_DEP                        "/>
        <s v="E13_OTG                            "/>
        <s v="E13_OVT_PUBLI                      "/>
        <s v="E13_PAV                            "/>
        <s v="E13_PAV_IAS                        "/>
        <s v="E13_PAV_SIDENT                     "/>
        <s v="E13_PCONV                          "/>
        <s v="E13_PDA                            "/>
        <s v="E13_PDCENTRE                       "/>
        <s v="E13_PDP                            "/>
        <s v="E13_PER                            "/>
        <s v="E13_PFI                            "/>
        <s v="E13_PFI2                           "/>
        <s v="E13_PILE                           "/>
        <s v="E13_PLD                            "/>
        <s v="E13_POE                            "/>
        <s v="E13_PPA                            "/>
        <s v="E13_PPQPIS                         "/>
        <s v="E13_PQPI                           "/>
        <s v="E13_PRACTICUM                      "/>
        <s v="E13_PREMISCAT                      "/>
        <s v="E13_PUB                            "/>
        <s v="E13_PUB_RESULTATS                  "/>
        <s v="E13_QCEN                           "/>
        <s v="E13_QESI                           "/>
        <s v="E13_QEST_LLARS                     "/>
        <s v="E13_QOF                            "/>
        <s v="E13_QSI                            "/>
        <s v="E13_RALC                           "/>
        <s v="E13_RECE                           "/>
        <s v="E13_RESERVA_SALES                  "/>
        <s v="E13_RLE                            "/>
        <s v="E13_RRHH                           "/>
        <s v="E13_RTA                            "/>
        <s v="E13_RTT                            "/>
        <s v="E13_SCD                            "/>
        <s v="E13_SGP                            "/>
        <s v="E13_SHP                            "/>
        <s v="E13_SIDIE                          "/>
        <s v="E13_SII                            "/>
        <s v="E13_SML                            "/>
        <s v="E13_SOR                            "/>
        <s v="E13_SSO_SM                         "/>
        <s v="E13_SUPERVISIO                     "/>
        <s v="E13_TIT                            "/>
        <s v="E13_TME                            "/>
        <s v="E13_UTILS                          "/>
        <s v="E13_VAD                            "/>
        <s v="E13_VAD_TSYSTEM                    "/>
        <s v="E13_VOL                            "/>
        <s v="EOICAMPUS                          "/>
        <s v="EQCAS                              "/>
        <s v="FINESTRETA                         "/>
        <s v="FLOWS_FILES                        "/>
        <s v="GAFADM                             "/>
        <s v="GAVIS                              "/>
        <s v="GCDE_ESTADISTICA                   "/>
        <s v="GEDAC                              "/>
        <s v="GEPSE                              "/>
        <s v="GGAA                               "/>
        <s v="GSMADMIN_INTERNAL                  "/>
        <s v="HPSM_IMP                           "/>
        <s v="IDI                                "/>
        <s v="INFOXTEC                           "/>
        <s v="INSPECCIO                          "/>
        <s v="INTRAPIEADM                        "/>
        <s v="INTRAPIEOAS                        "/>
        <s v="JHOMAR                             "/>
        <s v="JMARQUE4                           "/>
        <s v="JORGUE                             "/>
        <s v="LIDA                               "/>
        <s v="MIGR_ESQ                           "/>
        <s v="OBRES                              "/>
        <s v="OJVMSYS                            "/>
        <s v="ORDDATA                            "/>
        <s v="ORDS_METADATA                      "/>
        <s v="PAEC                               "/>
        <s v="PEBAC                              "/>
        <s v="PEBAX                              "/>
        <s v="PERGAM                             "/>
        <s v="PERGAM2                            "/>
        <s v="PUBLICACIONS                       "/>
        <s v="PUCADM                             "/>
        <s v="QV                                 "/>
        <s v="REGISTREFOR                        "/>
        <s v="RESTAURA                           "/>
        <s v="RESTORE                            "/>
        <s v="SAGA_CENTRAL                       "/>
        <s v="SIENS_ADM                          "/>
        <s v="SIGMA                              "/>
        <s v="SIGMA2                             "/>
        <s v="SUPTEC                             "/>
        <s v="SUPTICADM                          "/>
        <s v="TAS000000016839                    "/>
        <s v="TSYSTEMS                           "/>
        <s v="UPLOAD                             "/>
        <s v="USAV                               "/>
        <s v="VFS_NICE_264                       "/>
        <s v="XDB                                "/>
        <s v="XT20_ALFRESCO                      "/>
        <s v="XT20_LIFERAY                       "/>
        <s v="XTEC_ALTES                         "/>
      </sharedItems>
    </cacheField>
    <cacheField name="MB" numFmtId="0">
      <sharedItems containsSemiMixedTypes="0" containsString="0" containsNumber="1" minValue="0.13" maxValue="2014389.06"/>
    </cacheField>
    <cacheField name="GB" numFmtId="0">
      <sharedItems containsSemiMixedTypes="0" containsString="0" containsNumber="1" minValue="0" maxValue="1967.18"/>
    </cacheField>
    <cacheField name="Es pot eliminar?" numFmtId="0">
      <sharedItems count="5">
        <s v="No"/>
        <s v="??"/>
        <s v="Sí"/>
        <s v="Sí, però"/>
        <s v="AM07?" u="1"/>
      </sharedItems>
      <fieldGroup par="8"/>
    </cacheField>
    <cacheField name="Lot" numFmtId="0">
      <sharedItems containsBlank="1"/>
    </cacheField>
    <cacheField name="Observacions" numFmtId="0">
      <sharedItems containsBlank="1"/>
    </cacheField>
    <cacheField name="Aplicació" numFmtId="0">
      <sharedItems containsBlank="1"/>
    </cacheField>
    <cacheField name="GS" numFmtId="0">
      <sharedItems containsBlank="1" count="10">
        <m/>
        <s v="Andrea Cánovas"/>
        <s v="Jordi Sala"/>
        <s v="Oscar Méndez"/>
        <s v="Traspàs recent"/>
        <s v="Raquel Mestres"/>
        <s v="Rosa Cañellas"/>
        <s v="Daniel Moreiras"/>
        <s v="Rosa Cañellas?" u="1"/>
        <s v="??" u="1"/>
      </sharedItems>
    </cacheField>
    <cacheField name="Es pot eliminar?2" numFmtId="0" databaseField="0">
      <fieldGroup base="3">
        <discretePr count="5">
          <x v="0"/>
          <x v="1"/>
          <x v="3"/>
          <x v="3"/>
          <x v="2"/>
        </discretePr>
        <groupItems count="4">
          <s v="No"/>
          <s v="??"/>
          <s v="AM07?"/>
          <s v="Gr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5">
  <r>
    <x v="0"/>
    <s v="OSB_TRACES_COMUNES                              "/>
    <n v="468851"/>
    <n v="457.8623046875"/>
    <x v="0"/>
    <s v="AM10"/>
    <m/>
    <s v="Taula amb els registres de log de l'OSB a partir del 2021"/>
    <m/>
    <x v="0"/>
  </r>
  <r>
    <x v="1"/>
    <s v="UTILS_TB_LOG                                    "/>
    <n v="301223"/>
    <n v="294.1630859375"/>
    <x v="0"/>
    <s v="AM10"/>
    <s v="Cal conservar, es manté el LOG de 1 mes"/>
    <m/>
    <m/>
    <x v="0"/>
  </r>
  <r>
    <x v="0"/>
    <s v="OSB_TRACES_COMUNES_BCK                          "/>
    <n v="197348"/>
    <n v="192.72265625"/>
    <x v="0"/>
    <s v="AM10"/>
    <m/>
    <s v="Taula amb els registres de log de l'OSB fins al 2021"/>
    <m/>
    <x v="0"/>
  </r>
  <r>
    <x v="2"/>
    <s v="UTILS_TB_HST_LOG                                "/>
    <n v="121019"/>
    <n v="118.1826171875"/>
    <x v="0"/>
    <s v="AM10"/>
    <s v="Cal conservar, es manté el LOG de 2 anys"/>
    <m/>
    <m/>
    <x v="0"/>
  </r>
  <r>
    <x v="3"/>
    <s v="PROCES_GEDAC_DETALL                             "/>
    <n v="55825"/>
    <n v="54.5166015625"/>
    <x v="0"/>
    <s v="AM10"/>
    <s v="No existeix política d'esborrat. "/>
    <m/>
    <m/>
    <x v="0"/>
  </r>
  <r>
    <x v="4"/>
    <s v="UTILS_TB_HST_LOG                                "/>
    <n v="51330"/>
    <n v="50.126953125"/>
    <x v="0"/>
    <s v="AM10"/>
    <s v="Cal conservar, es manté el LOG de 6 mesos"/>
    <m/>
    <m/>
    <x v="0"/>
  </r>
  <r>
    <x v="5"/>
    <s v="T_LOG_PERSONA                                   "/>
    <n v="50780"/>
    <n v="49.58984375"/>
    <x v="0"/>
    <s v="AM05"/>
    <s v="No en té"/>
    <m/>
    <m/>
    <x v="0"/>
  </r>
  <r>
    <x v="0"/>
    <s v="UTILS_TB_HST_LOG                                "/>
    <n v="43550"/>
    <n v="42.529296875"/>
    <x v="0"/>
    <s v="AM10"/>
    <s v="Cal conservar, es manté el LOG de 2 anys"/>
    <m/>
    <m/>
    <x v="0"/>
  </r>
  <r>
    <x v="2"/>
    <s v="UTILS_TB_LOG                                    "/>
    <n v="40938"/>
    <n v="39.978515625"/>
    <x v="0"/>
    <s v="AM10"/>
    <s v="Cal conservar, es manté el LOG de 6 mesos"/>
    <m/>
    <m/>
    <x v="0"/>
  </r>
  <r>
    <x v="6"/>
    <s v="SMACCESSLOG4                                    "/>
    <n v="39562"/>
    <n v="38.634765625"/>
    <x v="1"/>
    <m/>
    <m/>
    <m/>
    <m/>
    <x v="0"/>
  </r>
  <r>
    <x v="7"/>
    <s v="UTILS_TB_LOG                                    "/>
    <n v="38519"/>
    <n v="37.6162109375"/>
    <x v="0"/>
    <s v="AM10"/>
    <s v="No exisitex política d'esborrat"/>
    <m/>
    <m/>
    <x v="0"/>
  </r>
  <r>
    <x v="8"/>
    <s v="OVT_PUBLITB_AP_RESULTATS                        "/>
    <n v="27168"/>
    <n v="26.53125"/>
    <x v="0"/>
    <s v="AM10"/>
    <s v="Taula d'aplicació. No aplica"/>
    <m/>
    <m/>
    <x v="0"/>
  </r>
  <r>
    <x v="0"/>
    <s v="UTILS_TB_LOG                                    "/>
    <n v="25430"/>
    <n v="24.833984375"/>
    <x v="0"/>
    <s v="AM10"/>
    <s v="Cal conservar, es manté el LOG de 6 mesos"/>
    <m/>
    <m/>
    <x v="0"/>
  </r>
  <r>
    <x v="3"/>
    <s v="LOG_SOLICITUDS_HISTORIC                         "/>
    <n v="23106"/>
    <n v="22.564453125"/>
    <x v="0"/>
    <s v="AM10"/>
    <s v="Taula destinària de l'esborrat de  LOG_SOLICITUDS"/>
    <m/>
    <m/>
    <x v="0"/>
  </r>
  <r>
    <x v="9"/>
    <s v="UTILS_TB_HST_LOG                                "/>
    <n v="20848"/>
    <n v="20.359375"/>
    <x v="0"/>
    <s v="AM10"/>
    <s v="Cal conservar, es manté el LOG de 2 anys"/>
    <m/>
    <m/>
    <x v="0"/>
  </r>
  <r>
    <x v="10"/>
    <s v="TWSC_MAILS                                      "/>
    <n v="17503"/>
    <n v="17.0927734375"/>
    <x v="0"/>
    <s v="AM10"/>
    <s v="Cal conservar, es manté el LOG de 1 mes"/>
    <m/>
    <m/>
    <x v="0"/>
  </r>
  <r>
    <x v="11"/>
    <s v="UTILS_TB_LOG                                    "/>
    <n v="17205"/>
    <n v="16.8017578125"/>
    <x v="0"/>
    <s v="AM10"/>
    <m/>
    <m/>
    <m/>
    <x v="0"/>
  </r>
  <r>
    <x v="12"/>
    <s v="MSG_TB_PETICIO_DET                              "/>
    <n v="16314"/>
    <n v="15.931640625"/>
    <x v="0"/>
    <s v="AM10"/>
    <s v="No exisitex política d'esborrat"/>
    <m/>
    <m/>
    <x v="0"/>
  </r>
  <r>
    <x v="13"/>
    <s v="VADTB_LOG                                       "/>
    <n v="15808"/>
    <n v="15.4375"/>
    <x v="1"/>
    <s v="AM10"/>
    <m/>
    <m/>
    <m/>
    <x v="0"/>
  </r>
  <r>
    <x v="14"/>
    <s v="HST_AGD_AVA_ALUMNE_ITEM                         "/>
    <n v="14788"/>
    <n v="14.44140625"/>
    <x v="0"/>
    <s v="AM10"/>
    <m/>
    <s v="No són taules LOG"/>
    <m/>
    <x v="0"/>
  </r>
  <r>
    <x v="15"/>
    <s v="PLDTB_AP_ESPEC_PROFES                           "/>
    <n v="14764"/>
    <n v="14.41796875"/>
    <x v="0"/>
    <s v="AM05"/>
    <s v="No en té"/>
    <m/>
    <m/>
    <x v="0"/>
  </r>
  <r>
    <x v="16"/>
    <s v="BAE_DMA_CURRICULUM                              "/>
    <n v="14211"/>
    <n v="13.8779296875"/>
    <x v="0"/>
    <s v="AM10"/>
    <s v="Cal conservar, dades amb finestra de dos anys"/>
    <m/>
    <m/>
    <x v="0"/>
  </r>
  <r>
    <x v="17"/>
    <s v="OLD_HST_AGD_AVA_ALUMNE_ITEM                     "/>
    <n v="13944"/>
    <n v="13.6171875"/>
    <x v="0"/>
    <s v="AM10"/>
    <m/>
    <s v="No són taules LOG"/>
    <m/>
    <x v="0"/>
  </r>
  <r>
    <x v="18"/>
    <s v="BO_LOG_AUTORITZACIO                             "/>
    <n v="13106"/>
    <n v="12.798828125"/>
    <x v="2"/>
    <s v="AM11"/>
    <s v="Politica d'esborrat anys anteriors, hi ha dades des del 2006"/>
    <s v="Procediments Oracle on desa els errors de les accions"/>
    <s v="SAGA"/>
    <x v="1"/>
  </r>
  <r>
    <x v="19"/>
    <s v="HST_A6P_RESULTAT                                "/>
    <n v="12548"/>
    <n v="12.25390625"/>
    <x v="0"/>
    <s v="AM10"/>
    <m/>
    <s v="No són taules LOG"/>
    <m/>
    <x v="0"/>
  </r>
  <r>
    <x v="20"/>
    <s v="HST_A4S_RESULTAT                                "/>
    <n v="11088"/>
    <n v="10.828125"/>
    <x v="0"/>
    <s v="AM10"/>
    <m/>
    <s v="No són taules LOG"/>
    <m/>
    <x v="0"/>
  </r>
  <r>
    <x v="16"/>
    <s v="BAE_DMA_CURRICULUM_AVALUACIO                    "/>
    <n v="10952"/>
    <n v="10.6953125"/>
    <x v="0"/>
    <s v="AM10"/>
    <s v="Cal conservar, dades amb finestra de dos anys"/>
    <m/>
    <m/>
    <x v="0"/>
  </r>
  <r>
    <x v="3"/>
    <s v="LOG_GEDAC                                       "/>
    <n v="10914"/>
    <n v="10.658203125"/>
    <x v="0"/>
    <s v="AM10"/>
    <s v="Cal conservar, són els logs dels darrers 15 dies"/>
    <m/>
    <m/>
    <x v="0"/>
  </r>
  <r>
    <x v="3"/>
    <s v="GEDACPRE_ENVIAMENT_CORREUS                      "/>
    <n v="10591"/>
    <n v="10.3427734375"/>
    <x v="0"/>
    <s v="AM10"/>
    <s v="No existeix política d'esborrat. "/>
    <m/>
    <m/>
    <x v="0"/>
  </r>
  <r>
    <x v="21"/>
    <s v="AACTBLOG_WS                                     "/>
    <n v="9128"/>
    <n v="8.9140625"/>
    <x v="0"/>
    <s v="AM10"/>
    <s v="No existeix política d'esborrat. "/>
    <m/>
    <m/>
    <x v="0"/>
  </r>
  <r>
    <x v="22"/>
    <s v="UTILS_TB_LOG                                    "/>
    <n v="8501"/>
    <n v="8.3017578125"/>
    <x v="0"/>
    <s v="AM10"/>
    <m/>
    <m/>
    <m/>
    <x v="0"/>
  </r>
  <r>
    <x v="9"/>
    <s v="UTILS_TB_LOG                                    "/>
    <n v="8274"/>
    <n v="8.080078125"/>
    <x v="0"/>
    <s v="AM10"/>
    <s v="Cal conservar, es manté el LOG de 6 mesos"/>
    <m/>
    <m/>
    <x v="0"/>
  </r>
  <r>
    <x v="23"/>
    <s v="UTILS_TB_LOG                                    "/>
    <n v="7916"/>
    <n v="7.73046875"/>
    <x v="0"/>
    <s v="AM10"/>
    <s v="No existeix política d'esborrat. "/>
    <m/>
    <m/>
    <x v="0"/>
  </r>
  <r>
    <x v="5"/>
    <s v="T_LOG_ACTIVITAT                                 "/>
    <n v="7592"/>
    <n v="7.4140625"/>
    <x v="0"/>
    <s v="AM05"/>
    <s v="No en té"/>
    <m/>
    <m/>
    <x v="0"/>
  </r>
  <r>
    <x v="16"/>
    <s v="BKBAE_DMA_CURRICULUM                            "/>
    <n v="7589"/>
    <n v="7.4111328125"/>
    <x v="2"/>
    <s v="AM10"/>
    <s v="Taula de backup sol·licitada en un AGIN ja resolt"/>
    <m/>
    <s v="BAE"/>
    <x v="2"/>
  </r>
  <r>
    <x v="16"/>
    <s v="BK3BAE_DMA_CURRICULUM                           "/>
    <n v="7574"/>
    <n v="7.396484375"/>
    <x v="2"/>
    <s v="AM10"/>
    <s v="Taula de backup sol·licitada en un AGIN ja resolt"/>
    <m/>
    <s v="BAE"/>
    <x v="2"/>
  </r>
  <r>
    <x v="16"/>
    <s v="BK2BAE_DMA_CURRICULUM                           "/>
    <n v="7573"/>
    <n v="7.3955078125"/>
    <x v="2"/>
    <s v="AM10"/>
    <s v="Taula de backup sol·licitada en un AGIN ja resolt"/>
    <m/>
    <s v="BAE"/>
    <x v="2"/>
  </r>
  <r>
    <x v="17"/>
    <s v="OLD_HST_AGD_RESULTAT                            "/>
    <n v="7388"/>
    <n v="7.21484375"/>
    <x v="0"/>
    <s v="AM10"/>
    <m/>
    <s v="No són taules LOG"/>
    <m/>
    <x v="0"/>
  </r>
  <r>
    <x v="24"/>
    <s v="EX_V_DMA_CURRICULUM                             "/>
    <n v="6945"/>
    <n v="6.7822265625"/>
    <x v="0"/>
    <s v="AM10"/>
    <m/>
    <m/>
    <m/>
    <x v="0"/>
  </r>
  <r>
    <x v="4"/>
    <s v="UTILS_TB_LOG                                    "/>
    <n v="6714"/>
    <n v="6.556640625"/>
    <x v="0"/>
    <s v="AM10"/>
    <s v="Cal conservar, es manté el LOG de 15 dies"/>
    <m/>
    <m/>
    <x v="0"/>
  </r>
  <r>
    <x v="25"/>
    <s v="GSATBG77_APP_LOG                                "/>
    <n v="6091"/>
    <n v="5.9482421875"/>
    <x v="0"/>
    <s v="AM10"/>
    <s v="No existeix política d'esborrat"/>
    <m/>
    <m/>
    <x v="0"/>
  </r>
  <r>
    <x v="26"/>
    <s v="RLE_LOG                                         "/>
    <n v="5692"/>
    <n v="5.55859375"/>
    <x v="3"/>
    <m/>
    <m/>
    <m/>
    <m/>
    <x v="0"/>
  </r>
  <r>
    <x v="27"/>
    <s v="TB_CONTROL_ACCESSOS                             "/>
    <n v="5381"/>
    <n v="5.2548828125"/>
    <x v="0"/>
    <s v="AM10"/>
    <m/>
    <m/>
    <m/>
    <x v="0"/>
  </r>
  <r>
    <x v="28"/>
    <s v="POETB103_LOGS_PROCESSOS                         "/>
    <n v="5214"/>
    <n v="5.091796875"/>
    <x v="0"/>
    <s v="AM10"/>
    <m/>
    <s v="Es pot esborrar el contingut"/>
    <m/>
    <x v="0"/>
  </r>
  <r>
    <x v="29"/>
    <s v="LOG_CRIDES_WS                                   "/>
    <n v="5039"/>
    <n v="4.9208984375"/>
    <x v="2"/>
    <s v="AM07"/>
    <m/>
    <m/>
    <m/>
    <x v="3"/>
  </r>
  <r>
    <x v="30"/>
    <s v="ACTION_LOG_OLD                                  "/>
    <n v="4874"/>
    <n v="4.759765625"/>
    <x v="3"/>
    <m/>
    <m/>
    <m/>
    <m/>
    <x v="0"/>
  </r>
  <r>
    <x v="31"/>
    <s v="SIITBMATRICULES                                 "/>
    <n v="4602"/>
    <n v="4.494140625"/>
    <x v="0"/>
    <s v="AM10"/>
    <m/>
    <m/>
    <m/>
    <x v="0"/>
  </r>
  <r>
    <x v="26"/>
    <s v="TRAC_TB_CARREGA_VACUNA_LOG                      "/>
    <n v="4393"/>
    <n v="4.290039063"/>
    <x v="0"/>
    <s v="AM05"/>
    <s v="No en té"/>
    <s v="Són aplicació Traçacovid - Es podrien historificar"/>
    <m/>
    <x v="0"/>
  </r>
  <r>
    <x v="32"/>
    <s v="GTO_LOG_MISSATGE                                "/>
    <n v="4381"/>
    <n v="4.278320313"/>
    <x v="0"/>
    <s v="AM05"/>
    <s v="No en té"/>
    <s v="Es podrien esborrar registres però caldria seleccionar quins es poden esborrar."/>
    <m/>
    <x v="0"/>
  </r>
  <r>
    <x v="1"/>
    <s v="UTILS_TB_HST_LOG_OLD                            "/>
    <n v="4358"/>
    <n v="4.255859375"/>
    <x v="2"/>
    <s v="AM10"/>
    <m/>
    <m/>
    <m/>
    <x v="4"/>
  </r>
  <r>
    <x v="25"/>
    <s v="GSATBG91_OVT_ENV_DETALL                         "/>
    <n v="4353"/>
    <n v="4.2509765625"/>
    <x v="0"/>
    <s v="AM10"/>
    <s v="Taula d'aplicació. No aplica"/>
    <m/>
    <m/>
    <x v="0"/>
  </r>
  <r>
    <x v="33"/>
    <s v="BORPASTB_CA_OCUPACIO                            "/>
    <n v="4293"/>
    <n v="4.192382813"/>
    <x v="0"/>
    <s v="AM05"/>
    <s v="No en té"/>
    <m/>
    <m/>
    <x v="0"/>
  </r>
  <r>
    <x v="31"/>
    <s v="SIITBMATRICULES_BAL                             "/>
    <n v="4256"/>
    <n v="4.15625"/>
    <x v="0"/>
    <s v="AM10"/>
    <m/>
    <m/>
    <m/>
    <x v="0"/>
  </r>
  <r>
    <x v="16"/>
    <s v="BK3BAE_DMA_CURRICULUM_AVAL                      "/>
    <n v="3909"/>
    <n v="3.8173828125"/>
    <x v="2"/>
    <s v="AM10"/>
    <s v="Taula de backup sol·licitada en un AGIN ja resolt"/>
    <m/>
    <m/>
    <x v="2"/>
  </r>
  <r>
    <x v="16"/>
    <s v="BK2BAE_DMA_CURRICULUM_AVAL                      "/>
    <n v="3904"/>
    <n v="3.8125"/>
    <x v="2"/>
    <s v="AM10"/>
    <s v="Taula de backup sol·licitada en un AGIN ja resolt"/>
    <m/>
    <m/>
    <x v="2"/>
  </r>
  <r>
    <x v="34"/>
    <s v="FPPR_ACDD_ACT_LOGPROC                           "/>
    <n v="3890"/>
    <n v="3.798828125"/>
    <x v="0"/>
    <s v="AM05"/>
    <s v="No en té"/>
    <m/>
    <m/>
    <x v="0"/>
  </r>
  <r>
    <x v="16"/>
    <s v="BKBAE_DMA_CURRICULUM_AVAL                       "/>
    <n v="3885"/>
    <n v="3.7939453125"/>
    <x v="2"/>
    <s v="AM10"/>
    <s v="Taula de backup sol·licitada en un AGIN ja resolt"/>
    <m/>
    <m/>
    <x v="2"/>
  </r>
  <r>
    <x v="13"/>
    <s v="VADTB_AP_DEMANDES_ADJ                           "/>
    <n v="3755"/>
    <n v="3.666992188"/>
    <x v="0"/>
    <s v="AM05"/>
    <s v="No en té"/>
    <s v="Taula paral·lel adjudicació, s'eborra abans de cada execució"/>
    <m/>
    <x v="0"/>
  </r>
  <r>
    <x v="35"/>
    <s v="AO_RESPOSTA_H                                   "/>
    <n v="3730"/>
    <n v="3.642578125"/>
    <x v="0"/>
    <s v="AM05"/>
    <s v="No en té"/>
    <m/>
    <m/>
    <x v="0"/>
  </r>
  <r>
    <x v="36"/>
    <s v="CATALEG                                         "/>
    <n v="3648"/>
    <n v="3.5625"/>
    <x v="0"/>
    <s v="AM10"/>
    <s v="Taula d'aplicació. No aplica"/>
    <m/>
    <m/>
    <x v="0"/>
  </r>
  <r>
    <x v="37"/>
    <s v="NOMINES_TFINAL                                  "/>
    <n v="3459"/>
    <n v="3.3779296875"/>
    <x v="3"/>
    <m/>
    <m/>
    <m/>
    <m/>
    <x v="0"/>
  </r>
  <r>
    <x v="15"/>
    <s v="PLDTB_AP_CTRS_REGISTRE                          "/>
    <n v="3270"/>
    <n v="3.193359375"/>
    <x v="0"/>
    <s v="AM05"/>
    <s v="No en té"/>
    <m/>
    <m/>
    <x v="0"/>
  </r>
  <r>
    <x v="13"/>
    <s v="VADTB_AP_PETIC_AMBIT_ESPEC                      "/>
    <n v="3217"/>
    <n v="3.141601563"/>
    <x v="0"/>
    <s v="AM05"/>
    <s v="No en té"/>
    <m/>
    <m/>
    <x v="0"/>
  </r>
  <r>
    <x v="38"/>
    <s v="GSDTBERRORS                                     "/>
    <n v="2947"/>
    <n v="2.877929688"/>
    <x v="0"/>
    <s v="AM05"/>
    <s v="No en té"/>
    <m/>
    <m/>
    <x v="0"/>
  </r>
  <r>
    <x v="5"/>
    <s v="T_LOG_ALUMNE                                    "/>
    <n v="2944"/>
    <n v="2.875"/>
    <x v="0"/>
    <s v="AM05"/>
    <s v="No en té"/>
    <m/>
    <m/>
    <x v="0"/>
  </r>
  <r>
    <x v="39"/>
    <s v="GCONTB_DA_NOMINA                                "/>
    <n v="2944"/>
    <n v="2.875"/>
    <x v="0"/>
    <s v="AM10"/>
    <s v="Taula d'aplicació. No aplica"/>
    <m/>
    <m/>
    <x v="0"/>
  </r>
  <r>
    <x v="35"/>
    <s v="AO_STATS_OUTPUT_BUFFER                          "/>
    <n v="2883"/>
    <n v="2.815429688"/>
    <x v="0"/>
    <s v="AM05"/>
    <s v="No en té"/>
    <m/>
    <m/>
    <x v="0"/>
  </r>
  <r>
    <x v="12"/>
    <s v="UTILS_TB_LOG                                    "/>
    <n v="2694"/>
    <n v="2.630859375"/>
    <x v="0"/>
    <s v="AM10"/>
    <s v="No exisitex política d'esborrat"/>
    <m/>
    <m/>
    <x v="0"/>
  </r>
  <r>
    <x v="40"/>
    <s v="IDATB10_AP_NUCLI_LOG                            "/>
    <n v="2647"/>
    <n v="2.5849609375"/>
    <x v="2"/>
    <s v="AM10"/>
    <m/>
    <s v="Creiem que es pot eliminar"/>
    <m/>
    <x v="5"/>
  </r>
  <r>
    <x v="41"/>
    <s v="BOR_PREF_MUNICIPIS                              "/>
    <n v="2561"/>
    <n v="2.500976563"/>
    <x v="0"/>
    <s v="AM05"/>
    <s v="No en té"/>
    <m/>
    <m/>
    <x v="0"/>
  </r>
  <r>
    <x v="42"/>
    <s v="UTILS_TB_LOG                                    "/>
    <n v="2560"/>
    <n v="2.5"/>
    <x v="0"/>
    <s v="AM10"/>
    <s v="Cal conservar, es manté el LOG de 90 dies"/>
    <m/>
    <m/>
    <x v="0"/>
  </r>
  <r>
    <x v="3"/>
    <s v="LOG_RECALCUL_GRAELLA                            "/>
    <n v="2560"/>
    <n v="2.5"/>
    <x v="0"/>
    <s v="AM10"/>
    <s v="No existeix política d'esborrat. "/>
    <m/>
    <m/>
    <x v="0"/>
  </r>
  <r>
    <x v="19"/>
    <s v="HST_A6P_AVALUACIO_ALUMNE_NIVEL                  "/>
    <n v="2451"/>
    <n v="2.3935546875"/>
    <x v="0"/>
    <s v="AM10"/>
    <m/>
    <s v="No són taules LOG"/>
    <m/>
    <x v="0"/>
  </r>
  <r>
    <x v="20"/>
    <s v="HST_A4S_AVALUACIO_ALUMNE_NIVEL                  "/>
    <n v="2437"/>
    <n v="2.3798828125"/>
    <x v="0"/>
    <s v="AM10"/>
    <m/>
    <s v="No són taules LOG"/>
    <m/>
    <x v="0"/>
  </r>
  <r>
    <x v="24"/>
    <s v="EX_V_DMA_CURRICULUM_AVALUACIO                   "/>
    <n v="2432"/>
    <n v="2.375"/>
    <x v="0"/>
    <s v="AM10"/>
    <m/>
    <m/>
    <m/>
    <x v="0"/>
  </r>
  <r>
    <x v="43"/>
    <s v="GSATBI07LOG_CRON                                "/>
    <n v="2376"/>
    <n v="2.3203125"/>
    <x v="0"/>
    <s v="AM10"/>
    <s v="Elimina logs amb antiguitat superior a 7 dies"/>
    <m/>
    <m/>
    <x v="0"/>
  </r>
  <r>
    <x v="14"/>
    <s v="HST_AGD_AVA_ALUMNE_COMP                         "/>
    <n v="2374"/>
    <n v="2.318359375"/>
    <x v="0"/>
    <s v="AM10"/>
    <m/>
    <s v="No són taules LOG"/>
    <m/>
    <x v="0"/>
  </r>
  <r>
    <x v="9"/>
    <s v="RALC_TB_REGISTRE_LOG_MAT                        "/>
    <n v="2314"/>
    <n v="2.259765625"/>
    <x v="0"/>
    <s v="AM10"/>
    <m/>
    <s v="No són taules LOG"/>
    <m/>
    <x v="0"/>
  </r>
  <r>
    <x v="0"/>
    <s v="OSB_TRACES_PICA                                 "/>
    <n v="2274"/>
    <n v="2.220703125"/>
    <x v="0"/>
    <s v="AM10"/>
    <m/>
    <m/>
    <m/>
    <x v="0"/>
  </r>
  <r>
    <x v="37"/>
    <s v="NOMINES_TPUNTERSVINCLES                         "/>
    <n v="2246"/>
    <n v="2.193359375"/>
    <x v="3"/>
    <m/>
    <m/>
    <m/>
    <m/>
    <x v="0"/>
  </r>
  <r>
    <x v="44"/>
    <s v="PETICIONS                                       "/>
    <n v="2218"/>
    <n v="2.166015625"/>
    <x v="0"/>
    <s v="AM10"/>
    <m/>
    <s v="No exisitex política d'esborrat"/>
    <m/>
    <x v="0"/>
  </r>
  <r>
    <x v="17"/>
    <s v="OLD_HST_AGD_AVA_ALUMNE_COMP                     "/>
    <n v="2175"/>
    <n v="2.1240234375"/>
    <x v="0"/>
    <s v="AM10"/>
    <m/>
    <s v="No són taules LOG"/>
    <m/>
    <x v="0"/>
  </r>
  <r>
    <x v="45"/>
    <s v="FP_HISTORIC_GPF                                 "/>
    <n v="2096"/>
    <n v="2.046875"/>
    <x v="0"/>
    <s v="AM05"/>
    <s v="No en té"/>
    <m/>
    <m/>
    <x v="0"/>
  </r>
  <r>
    <x v="46"/>
    <s v="GSD_OPO_TB_COM_LOG                              "/>
    <n v="1984"/>
    <n v="1.9375"/>
    <x v="0"/>
    <s v="AM05"/>
    <s v="No en té"/>
    <m/>
    <m/>
    <x v="0"/>
  </r>
  <r>
    <x v="31"/>
    <s v="SIITBALUMNES                                    "/>
    <n v="1951"/>
    <n v="1.9052734375"/>
    <x v="0"/>
    <s v="AM10"/>
    <m/>
    <m/>
    <m/>
    <x v="0"/>
  </r>
  <r>
    <x v="13"/>
    <s v="VADTB_AP_DEMANDES_TMP                           "/>
    <n v="1923"/>
    <n v="1.877929688"/>
    <x v="0"/>
    <s v="AM05"/>
    <s v="No en té"/>
    <s v="Taula paral·lel adjudicació, s'eborra abans de cada execució"/>
    <m/>
    <x v="0"/>
  </r>
  <r>
    <x v="40"/>
    <s v="IDATB_TP_ALUMNES_INCR                           "/>
    <n v="1921"/>
    <n v="1.8759765625"/>
    <x v="2"/>
    <s v="AM10"/>
    <m/>
    <s v="Creiem que es pot eliminar"/>
    <m/>
    <x v="1"/>
  </r>
  <r>
    <x v="47"/>
    <s v="UTILS_TB_LOG                                    "/>
    <n v="1920"/>
    <n v="1.875"/>
    <x v="0"/>
    <s v="AM10"/>
    <s v="No exisitex política d'esborrat"/>
    <m/>
    <m/>
    <x v="0"/>
  </r>
  <r>
    <x v="48"/>
    <s v="TMETB15PERSONALXESP_N1                          "/>
    <n v="1920"/>
    <n v="1.875"/>
    <x v="0"/>
    <s v="AM10"/>
    <s v="No existeix política d'esborrat"/>
    <m/>
    <m/>
    <x v="0"/>
  </r>
  <r>
    <x v="49"/>
    <s v="OTG_MV_GSDV0320_LOC                             "/>
    <n v="1856"/>
    <n v="1.8125"/>
    <x v="0"/>
    <s v="AM10"/>
    <s v="Vista materialitzada de dades Host"/>
    <m/>
    <m/>
    <x v="0"/>
  </r>
  <r>
    <x v="32"/>
    <s v="GTO_IMPRES_ASPIRANT                             "/>
    <n v="1796"/>
    <n v="1.75390625"/>
    <x v="0"/>
    <s v="AM05"/>
    <s v="No en té"/>
    <m/>
    <m/>
    <x v="0"/>
  </r>
  <r>
    <x v="26"/>
    <s v="GRL_TB_LOG                                      "/>
    <n v="1734"/>
    <n v="1.693359375"/>
    <x v="0"/>
    <s v="AM05"/>
    <s v="No en té"/>
    <m/>
    <m/>
    <x v="0"/>
  </r>
  <r>
    <x v="9"/>
    <s v="RALC_TB_REGISTRE_LOG                            "/>
    <n v="1729"/>
    <n v="1.6884765625"/>
    <x v="0"/>
    <s v="AM10"/>
    <m/>
    <s v="No són taules LOG"/>
    <m/>
    <x v="0"/>
  </r>
  <r>
    <x v="33"/>
    <s v="BORPASTB_AP_HISTORIC_CANDIDATU                  "/>
    <n v="1600"/>
    <n v="1.5625"/>
    <x v="0"/>
    <s v="AM05"/>
    <s v="No en té"/>
    <m/>
    <m/>
    <x v="0"/>
  </r>
  <r>
    <x v="21"/>
    <s v="AACTBINFO_WS                                    "/>
    <n v="1600"/>
    <n v="1.5625"/>
    <x v="0"/>
    <s v="AM10"/>
    <s v="No existeix política d'esborrat"/>
    <m/>
    <m/>
    <x v="0"/>
  </r>
  <r>
    <x v="18"/>
    <s v="BO_LOG_TITULACIOPERSONAL                        "/>
    <n v="1571"/>
    <n v="1.5341796875"/>
    <x v="2"/>
    <s v="AM11"/>
    <s v="Politica d'esborrat anys anteriors, hi ha dades des del 2006"/>
    <s v="Procediments Oracle on desa els errors de les accions"/>
    <m/>
    <x v="1"/>
  </r>
  <r>
    <x v="50"/>
    <s v="T_REGISTRE_CERTIFICATS                          "/>
    <n v="1560"/>
    <n v="1.5234375"/>
    <x v="0"/>
    <s v="AM05"/>
    <s v="No en té"/>
    <m/>
    <m/>
    <x v="0"/>
  </r>
  <r>
    <x v="13"/>
    <s v="VADTB_AP_REPORT_INTERACTIU                      "/>
    <n v="1558"/>
    <n v="1.521484375"/>
    <x v="0"/>
    <s v="AM05"/>
    <s v="No en té"/>
    <m/>
    <m/>
    <x v="0"/>
  </r>
  <r>
    <x v="51"/>
    <s v="ADEVLOG                                         "/>
    <n v="1536"/>
    <n v="1.5"/>
    <x v="0"/>
    <s v="AM05"/>
    <s v="No en té"/>
    <m/>
    <m/>
    <x v="0"/>
  </r>
  <r>
    <x v="5"/>
    <s v="T_PERSONA                                       "/>
    <n v="1525"/>
    <n v="1.489257813"/>
    <x v="0"/>
    <s v="AM05"/>
    <s v="No en té"/>
    <m/>
    <m/>
    <x v="0"/>
  </r>
  <r>
    <x v="49"/>
    <s v="OTG_MV_RTAV0020                                 "/>
    <n v="1472"/>
    <n v="1.4375"/>
    <x v="0"/>
    <s v="AM10"/>
    <s v="Vista materialitzada de dades Host"/>
    <m/>
    <m/>
    <x v="0"/>
  </r>
  <r>
    <x v="8"/>
    <s v="OVT_PUBLITB_AP_SOLICITUDS                       "/>
    <n v="1472"/>
    <n v="1.4375"/>
    <x v="0"/>
    <s v="AM10"/>
    <s v="Taula d'aplicació. No aplica"/>
    <m/>
    <m/>
    <x v="0"/>
  </r>
  <r>
    <x v="52"/>
    <s v="TMP_LOG                                         "/>
    <n v="1472"/>
    <n v="1.4375"/>
    <x v="3"/>
    <m/>
    <m/>
    <m/>
    <m/>
    <x v="2"/>
  </r>
  <r>
    <x v="53"/>
    <s v="ALUMNES                                         "/>
    <n v="1408"/>
    <n v="1.375"/>
    <x v="0"/>
    <s v="AM10"/>
    <s v="Taula d'aplicació. No aplica"/>
    <m/>
    <m/>
    <x v="0"/>
  </r>
  <r>
    <x v="54"/>
    <s v="HTE_WS_LOG                                      "/>
    <n v="1347"/>
    <n v="1.3154296875"/>
    <x v="0"/>
    <s v="AM10"/>
    <s v="No existeix política d'esborrat. "/>
    <m/>
    <m/>
    <x v="0"/>
  </r>
  <r>
    <x v="18"/>
    <s v="BO_LOG_ENSENYAMENTCENTRE                        "/>
    <n v="1344"/>
    <n v="1.3125"/>
    <x v="2"/>
    <s v="AM11"/>
    <s v="Politica d'esborrat anys anteriors, hi ha dades des del 2006"/>
    <s v="Procediments Oracle on desa els errors de les accions"/>
    <m/>
    <x v="1"/>
  </r>
  <r>
    <x v="26"/>
    <s v="TRAC_TB_CARREGA_SALUT_LOG                       "/>
    <n v="1283"/>
    <n v="1.252929688"/>
    <x v="0"/>
    <s v="AM05"/>
    <s v="No en té"/>
    <s v="Són aplicació Traçacovid - Es podrien historificar"/>
    <m/>
    <x v="0"/>
  </r>
  <r>
    <x v="15"/>
    <s v="PLDTB_AP_FOTO_GRUPS                             "/>
    <n v="1281"/>
    <n v="1.250976563"/>
    <x v="0"/>
    <s v="AM05"/>
    <s v="No en té"/>
    <m/>
    <m/>
    <x v="0"/>
  </r>
  <r>
    <x v="55"/>
    <s v="AD_TB_RESULTATS                                 "/>
    <n v="1280"/>
    <n v="1.25"/>
    <x v="0"/>
    <s v="AM10"/>
    <m/>
    <m/>
    <m/>
    <x v="0"/>
  </r>
  <r>
    <x v="9"/>
    <s v="RALC_TB_AL_MATRICULA                            "/>
    <n v="1280"/>
    <n v="1.25"/>
    <x v="0"/>
    <s v="AM10"/>
    <m/>
    <s v="No són taules LOG"/>
    <m/>
    <x v="0"/>
  </r>
  <r>
    <x v="41"/>
    <s v="BOR_DEBUG_PROCEDURE                             "/>
    <n v="1223"/>
    <n v="1.194335938"/>
    <x v="0"/>
    <s v="AM05"/>
    <s v="No en té"/>
    <s v="Es podria esborrar periodicament. Proposta esborrar registres amb una antiguitat 1 més"/>
    <m/>
    <x v="0"/>
  </r>
  <r>
    <x v="15"/>
    <s v="PLDTB_AP_FOTO_LLOCS                             "/>
    <n v="1220"/>
    <n v="1.19140625"/>
    <x v="0"/>
    <s v="AM05"/>
    <s v="No en té"/>
    <m/>
    <m/>
    <x v="0"/>
  </r>
  <r>
    <x v="25"/>
    <s v="GSATB93_COM_OVT                                 "/>
    <n v="1220"/>
    <n v="1.19140625"/>
    <x v="0"/>
    <s v="AM10"/>
    <s v="Taula d'aplicació. No aplica"/>
    <m/>
    <m/>
    <x v="0"/>
  </r>
  <r>
    <x v="15"/>
    <s v="PLDTB_AP_DADES_FITXERS_GIP                      "/>
    <n v="1219"/>
    <n v="1.190429688"/>
    <x v="0"/>
    <s v="AM05"/>
    <s v="No en té"/>
    <m/>
    <m/>
    <x v="0"/>
  </r>
  <r>
    <x v="54"/>
    <s v="UTILS_TB_LOG                                    "/>
    <n v="1216"/>
    <n v="1.1875"/>
    <x v="0"/>
    <s v="AM10"/>
    <s v="No existeix política d'esborrat. "/>
    <m/>
    <m/>
    <x v="0"/>
  </r>
  <r>
    <x v="8"/>
    <s v="OVT_PUBLITB_ITP_RESULTA_190618                  "/>
    <n v="1216"/>
    <n v="1.1875"/>
    <x v="2"/>
    <s v="AM10"/>
    <s v="Taula de backup antiga"/>
    <m/>
    <m/>
    <x v="2"/>
  </r>
  <r>
    <x v="16"/>
    <s v="BAE_DMA_MATRICULA                               "/>
    <n v="1206"/>
    <n v="1.177734375"/>
    <x v="0"/>
    <s v="AM10"/>
    <s v="Cal conservar, dades amb finestra de dos anys"/>
    <m/>
    <m/>
    <x v="0"/>
  </r>
  <r>
    <x v="13"/>
    <s v="VADTB_AP_LLOC                                   "/>
    <n v="1154"/>
    <n v="1.126953125"/>
    <x v="0"/>
    <s v="AM05"/>
    <s v="No en té"/>
    <m/>
    <m/>
    <x v="0"/>
  </r>
  <r>
    <x v="5"/>
    <s v="T_FOR_ALUMNE                                    "/>
    <n v="1152"/>
    <n v="1.125"/>
    <x v="0"/>
    <s v="AM05"/>
    <s v="No en té"/>
    <m/>
    <m/>
    <x v="0"/>
  </r>
  <r>
    <x v="8"/>
    <s v="OVT_PUBLITB_AP_LOG_CONSULTA                     "/>
    <n v="1152"/>
    <n v="1.125"/>
    <x v="0"/>
    <s v="AM10"/>
    <s v="No existeix política d'esborrat"/>
    <m/>
    <m/>
    <x v="0"/>
  </r>
  <r>
    <x v="42"/>
    <s v="ZZTMPTB_FITXER_HOST_T_PAS2                      "/>
    <n v="1152"/>
    <n v="1.125"/>
    <x v="2"/>
    <s v="AM10"/>
    <s v="Taula de backup del procés de migració de RTA"/>
    <m/>
    <m/>
    <x v="2"/>
  </r>
  <r>
    <x v="8"/>
    <s v="OVT_PUBLITB_ITP_RESULTATS                       "/>
    <n v="1015"/>
    <n v="0.9912109375"/>
    <x v="0"/>
    <s v="AM10"/>
    <s v="Taula d'aplicació. No aplica"/>
    <m/>
    <m/>
    <x v="0"/>
  </r>
  <r>
    <x v="56"/>
    <s v="PDATB_AP_DADES_GIP                              "/>
    <n v="1000"/>
    <n v="0.9765625"/>
    <x v="0"/>
    <s v="AM05"/>
    <s v="No en té"/>
    <s v="Es poden esborrar periodicament. Proposta esborrar registres de convocatòries no vigents"/>
    <m/>
    <x v="0"/>
  </r>
  <r>
    <x v="57"/>
    <s v="T_ACTA_R_FORMADORS                              "/>
    <n v="1000"/>
    <n v="0.9765625"/>
    <x v="0"/>
    <s v="AM05"/>
    <s v="No en té"/>
    <m/>
    <m/>
    <x v="0"/>
  </r>
  <r>
    <x v="31"/>
    <s v="SIITBDEBUG_PROCEDURE                            "/>
    <n v="975"/>
    <n v="0.9521484375"/>
    <x v="0"/>
    <s v="AM10"/>
    <m/>
    <s v="Es pot esborrar el contingut"/>
    <m/>
    <x v="0"/>
  </r>
  <r>
    <x v="5"/>
    <s v="T_FOR_ACTIVITAT                                 "/>
    <n v="952"/>
    <n v="0.9296875"/>
    <x v="0"/>
    <s v="AM05"/>
    <s v="No en té"/>
    <m/>
    <m/>
    <x v="0"/>
  </r>
  <r>
    <x v="31"/>
    <s v="SIITBMAT_VAL_RESULTAT                           "/>
    <n v="951"/>
    <n v="0.9287109375"/>
    <x v="0"/>
    <s v="AM10"/>
    <m/>
    <m/>
    <m/>
    <x v="0"/>
  </r>
  <r>
    <x v="41"/>
    <s v="BOR_ESTADISTIQUES                               "/>
    <n v="950"/>
    <n v="0.927734375"/>
    <x v="0"/>
    <s v="AM05"/>
    <s v="No en té"/>
    <m/>
    <m/>
    <x v="0"/>
  </r>
  <r>
    <x v="58"/>
    <s v="GP_INCIDENCIA                                   "/>
    <n v="888"/>
    <n v="0.8671875"/>
    <x v="0"/>
    <s v="AM05"/>
    <s v="No en té"/>
    <m/>
    <m/>
    <x v="0"/>
  </r>
  <r>
    <x v="0"/>
    <s v="ALE_TB_ANNEX                                    "/>
    <n v="880"/>
    <n v="0.859375"/>
    <x v="0"/>
    <s v="AM10"/>
    <m/>
    <s v="No són taules LOG"/>
    <m/>
    <x v="0"/>
  </r>
  <r>
    <x v="31"/>
    <s v="SIITBMATRICULESXTRAMESA                         "/>
    <n v="858"/>
    <n v="0.837890625"/>
    <x v="0"/>
    <s v="AM10"/>
    <m/>
    <m/>
    <m/>
    <x v="0"/>
  </r>
  <r>
    <x v="18"/>
    <s v="BO_LOG_INCIDENCIAPERSONAL                       "/>
    <n v="842"/>
    <n v="0.822265625"/>
    <x v="2"/>
    <s v="AM11"/>
    <s v="Politica d'esborrat anys anteriors, hi ha dades des del 2006"/>
    <s v="Procediments Oracle on desa els errors de les accions"/>
    <m/>
    <x v="1"/>
  </r>
  <r>
    <x v="13"/>
    <s v="VADTB_AP_PARTICIPANTS_ADJ                       "/>
    <n v="810"/>
    <n v="0.791015625"/>
    <x v="0"/>
    <s v="AM05"/>
    <s v="No en té"/>
    <s v="Taula paral·lel adjudicació, s'eborra abans de cada execució"/>
    <m/>
    <x v="0"/>
  </r>
  <r>
    <x v="40"/>
    <s v="IDATB08_AP_DOMICILI_HISTO                       "/>
    <n v="810"/>
    <n v="0.791015625"/>
    <x v="2"/>
    <s v="AM10"/>
    <m/>
    <s v="Creiem que es pot eliminar"/>
    <m/>
    <x v="5"/>
  </r>
  <r>
    <x v="53"/>
    <s v="ALUMNES_16052012                                "/>
    <n v="810"/>
    <n v="0.791015625"/>
    <x v="2"/>
    <s v="AM10"/>
    <s v="Taula de backup antiga"/>
    <m/>
    <m/>
    <x v="2"/>
  </r>
  <r>
    <x v="53"/>
    <s v="ALUMNE_VERSIO_HOST2                             "/>
    <n v="808"/>
    <n v="0.7890625"/>
    <x v="2"/>
    <s v="AM10"/>
    <s v="Taula de backup antiga"/>
    <m/>
    <m/>
    <x v="2"/>
  </r>
  <r>
    <x v="53"/>
    <s v="ALUMNES_29052012                                "/>
    <n v="808"/>
    <n v="0.7890625"/>
    <x v="2"/>
    <s v="AM10"/>
    <s v="Taula de backup antiga"/>
    <m/>
    <m/>
    <x v="2"/>
  </r>
  <r>
    <x v="53"/>
    <s v="ALUMNES_VERSIO_HOST                             "/>
    <n v="808"/>
    <n v="0.7890625"/>
    <x v="2"/>
    <s v="AM10"/>
    <s v="Taula de backup antiga"/>
    <m/>
    <m/>
    <x v="2"/>
  </r>
  <r>
    <x v="59"/>
    <s v="CATALEG                                         "/>
    <n v="800"/>
    <n v="0.78125"/>
    <x v="2"/>
    <s v="AM10"/>
    <s v="En funció de la decisió de les observacions"/>
    <s v="Cal consultar a l'ATIC si es pot eliminar l'esquema PERGAM2."/>
    <m/>
    <x v="6"/>
  </r>
  <r>
    <x v="0"/>
    <s v="ALE_TB_TOKEN                                    "/>
    <n v="768"/>
    <n v="0.75"/>
    <x v="0"/>
    <s v="AM10"/>
    <m/>
    <s v="No són taules LOG"/>
    <m/>
    <x v="0"/>
  </r>
  <r>
    <x v="18"/>
    <s v="ADM_EST_AVALUACIOGRUPS                          "/>
    <n v="768"/>
    <n v="0.75"/>
    <x v="2"/>
    <s v="AM11"/>
    <s v="Fa anys que no persisteixen dades, es podria netejar"/>
    <s v="Són dades d'estadística "/>
    <m/>
    <x v="1"/>
  </r>
  <r>
    <x v="15"/>
    <s v="PLDTB_AP_CTRS_LLOCS_OCUP                        "/>
    <n v="767"/>
    <n v="0.74902343800000004"/>
    <x v="0"/>
    <s v="AM05"/>
    <s v="No en té"/>
    <m/>
    <m/>
    <x v="0"/>
  </r>
  <r>
    <x v="53"/>
    <s v="ALUMNES_12012012                                "/>
    <n v="760"/>
    <n v="0.7421875"/>
    <x v="2"/>
    <s v="AM10"/>
    <s v="Taula de backup antiga"/>
    <m/>
    <m/>
    <x v="2"/>
  </r>
  <r>
    <x v="53"/>
    <s v="ALUMNESBCK                                      "/>
    <n v="760"/>
    <n v="0.7421875"/>
    <x v="2"/>
    <s v="AM10"/>
    <s v="Taula de backup antiga"/>
    <m/>
    <m/>
    <x v="2"/>
  </r>
  <r>
    <x v="60"/>
    <s v="UTILS_LOG                                       "/>
    <n v="752"/>
    <n v="0.734375"/>
    <x v="0"/>
    <s v="AM10"/>
    <s v="No exisitex política d'esborrat"/>
    <m/>
    <m/>
    <x v="0"/>
  </r>
  <r>
    <x v="31"/>
    <s v="SIITBMAT_VAL_DETALL                             "/>
    <n v="745"/>
    <n v="0.7275390625"/>
    <x v="0"/>
    <s v="AM10"/>
    <m/>
    <m/>
    <m/>
    <x v="0"/>
  </r>
  <r>
    <x v="8"/>
    <s v="OVT_PUBLITB_AP_COM_OVT                          "/>
    <n v="744"/>
    <n v="0.7265625"/>
    <x v="0"/>
    <s v="AM10"/>
    <s v="Taula d'aplicació. No aplica"/>
    <m/>
    <m/>
    <x v="0"/>
  </r>
  <r>
    <x v="55"/>
    <s v="UTILS_TB_LOG                                    "/>
    <n v="720"/>
    <n v="0.703125"/>
    <x v="0"/>
    <s v="AM10"/>
    <m/>
    <m/>
    <m/>
    <x v="0"/>
  </r>
  <r>
    <x v="16"/>
    <s v="BAE_DMA_CONCLUSIO                               "/>
    <n v="720"/>
    <n v="0.703125"/>
    <x v="0"/>
    <s v="AM10"/>
    <s v="Cal conservar, dades amb finestra de dos anys"/>
    <m/>
    <m/>
    <x v="0"/>
  </r>
  <r>
    <x v="34"/>
    <s v="FPPR_ACDD_CLCACTGTAF                            "/>
    <n v="712"/>
    <n v="0.6953125"/>
    <x v="0"/>
    <s v="AM05"/>
    <s v="No en té"/>
    <m/>
    <m/>
    <x v="0"/>
  </r>
  <r>
    <x v="42"/>
    <s v="ZZTMPTB_FITXER_HOST_TRANS                       "/>
    <n v="712"/>
    <n v="0.6953125"/>
    <x v="2"/>
    <s v="AM10"/>
    <s v="Taula de backup del procés de migració de RTA"/>
    <m/>
    <m/>
    <x v="2"/>
  </r>
  <r>
    <x v="40"/>
    <s v="IDATB07_AP_DADES_ALUM_HISTO                     "/>
    <n v="707"/>
    <n v="0.6904296875"/>
    <x v="2"/>
    <s v="AM10"/>
    <m/>
    <s v="Creiem que es pot eliminar"/>
    <m/>
    <x v="5"/>
  </r>
  <r>
    <x v="39"/>
    <s v="GCONTB_DA_NOMINA_DEDICACIO                      "/>
    <n v="704"/>
    <n v="0.6875"/>
    <x v="0"/>
    <s v="AM10"/>
    <s v="Taula d'aplicació. No aplica"/>
    <m/>
    <m/>
    <x v="0"/>
  </r>
  <r>
    <x v="16"/>
    <s v="BAE_DMA_AVALUACIO_GLOBAL                        "/>
    <n v="688"/>
    <n v="0.671875"/>
    <x v="0"/>
    <s v="AM10"/>
    <s v="Cal conservar, dades amb finestra de dos anys"/>
    <m/>
    <m/>
    <x v="0"/>
  </r>
  <r>
    <x v="5"/>
    <s v="T_LOG_TIPUS_ACTIVITAT                           "/>
    <n v="658"/>
    <n v="0.642578125"/>
    <x v="0"/>
    <s v="AM05"/>
    <s v="No en té"/>
    <m/>
    <m/>
    <x v="0"/>
  </r>
  <r>
    <x v="45"/>
    <s v="FP_HISTORIC_GPF_CORREU                          "/>
    <n v="656"/>
    <n v="0.640625"/>
    <x v="0"/>
    <s v="AM05"/>
    <s v="No en té"/>
    <m/>
    <m/>
    <x v="0"/>
  </r>
  <r>
    <x v="40"/>
    <s v="IDATB_MG_ALUMNES_UNI                            "/>
    <n v="648"/>
    <n v="0.6328125"/>
    <x v="2"/>
    <s v="AM10"/>
    <m/>
    <s v="Creiem que es pot eliminar"/>
    <m/>
    <x v="5"/>
  </r>
  <r>
    <x v="30"/>
    <s v="ERROR_LOG                                       "/>
    <n v="648"/>
    <n v="0.6328125"/>
    <x v="3"/>
    <m/>
    <m/>
    <m/>
    <m/>
    <x v="0"/>
  </r>
  <r>
    <x v="20"/>
    <s v="DUPLICADO_TAULA_RESULTAT                        "/>
    <n v="640"/>
    <n v="0.625"/>
    <x v="3"/>
    <s v="AM10"/>
    <m/>
    <s v="No són taules LOG"/>
    <m/>
    <x v="2"/>
  </r>
  <r>
    <x v="35"/>
    <s v="AO_RESPOSTA                                     "/>
    <n v="628"/>
    <n v="0.61328125"/>
    <x v="0"/>
    <s v="AM05"/>
    <s v="No en té"/>
    <m/>
    <m/>
    <x v="0"/>
  </r>
  <r>
    <x v="38"/>
    <s v="GSDTBBLOC054                                    "/>
    <n v="624"/>
    <n v="0.609375"/>
    <x v="0"/>
    <s v="AM05"/>
    <s v="No en té"/>
    <m/>
    <m/>
    <x v="0"/>
  </r>
  <r>
    <x v="26"/>
    <s v="TRAC_TB_PERS                                    "/>
    <n v="621"/>
    <n v="0.60644531300000004"/>
    <x v="0"/>
    <s v="AM05"/>
    <s v="No en té"/>
    <s v="Són aplicació Traçacovid - Es podrien historificar"/>
    <m/>
    <x v="0"/>
  </r>
  <r>
    <x v="8"/>
    <s v="OVT_PUBLITB_TP_RESULTATS                        "/>
    <n v="608"/>
    <n v="0.59375"/>
    <x v="0"/>
    <s v="AM10"/>
    <s v="Taula d'aplicació. No aplica"/>
    <m/>
    <m/>
    <x v="0"/>
  </r>
  <r>
    <x v="49"/>
    <s v="OTG_MV_BALT001                                  "/>
    <n v="600"/>
    <n v="0.5859375"/>
    <x v="0"/>
    <s v="AM10"/>
    <s v="Vista materialitzada de dades Host"/>
    <m/>
    <m/>
    <x v="0"/>
  </r>
  <r>
    <x v="13"/>
    <s v="VADTB_AP_SOLICITUD                              "/>
    <n v="597"/>
    <n v="0.58300781300000004"/>
    <x v="0"/>
    <s v="AM05"/>
    <s v="No en té"/>
    <s v="Taula paral·lel adjudicació, s'eborra abans de cada execució"/>
    <m/>
    <x v="0"/>
  </r>
  <r>
    <x v="16"/>
    <s v="BKBAE_DMA_MATRICULA                             "/>
    <n v="584"/>
    <n v="0.5703125"/>
    <x v="2"/>
    <s v="AM10"/>
    <s v="Taula de backup sol·licitada en un AGIN ja resolt"/>
    <m/>
    <m/>
    <x v="2"/>
  </r>
  <r>
    <x v="14"/>
    <s v="HST_AGD_AVA_GRUP_ITEM                           "/>
    <n v="584"/>
    <n v="0.5703125"/>
    <x v="0"/>
    <s v="AM10"/>
    <m/>
    <s v="No són taules LOG"/>
    <m/>
    <x v="0"/>
  </r>
  <r>
    <x v="54"/>
    <s v="HTE_HISTORIAL_CAMP                              "/>
    <n v="584"/>
    <n v="0.5703125"/>
    <x v="0"/>
    <s v="AM10"/>
    <s v="No existeix política d'esborrat. "/>
    <m/>
    <m/>
    <x v="0"/>
  </r>
  <r>
    <x v="54"/>
    <s v="HTE_LOG                                         "/>
    <n v="584"/>
    <n v="0.5703125"/>
    <x v="0"/>
    <s v="AM10"/>
    <s v="No existeix política d'esborrat. "/>
    <m/>
    <m/>
    <x v="0"/>
  </r>
  <r>
    <x v="49"/>
    <s v="OTG_MV_GSDV0340_LOCESP                          "/>
    <n v="584"/>
    <n v="0.5703125"/>
    <x v="0"/>
    <s v="AM10"/>
    <s v="Vista materialitzada de dades Host"/>
    <m/>
    <m/>
    <x v="0"/>
  </r>
  <r>
    <x v="34"/>
    <s v="FPPR_ACDD_LOGPROC                               "/>
    <n v="581"/>
    <n v="0.56738281300000004"/>
    <x v="0"/>
    <s v="AM05"/>
    <s v="No en té"/>
    <m/>
    <m/>
    <x v="0"/>
  </r>
  <r>
    <x v="55"/>
    <s v="HST_AD_TB_RESULTATS                             "/>
    <n v="568"/>
    <n v="0.5546875"/>
    <x v="0"/>
    <s v="AM10"/>
    <m/>
    <m/>
    <m/>
    <x v="0"/>
  </r>
  <r>
    <x v="54"/>
    <s v="HTE_HISTORIAL                                   "/>
    <n v="568"/>
    <n v="0.5546875"/>
    <x v="0"/>
    <s v="AM10"/>
    <s v="No existeix política d'esborrat. "/>
    <m/>
    <m/>
    <x v="0"/>
  </r>
  <r>
    <x v="9"/>
    <s v="RALC_TB_AL_DOMICILI_SOL                         "/>
    <n v="568"/>
    <n v="0.5546875"/>
    <x v="0"/>
    <s v="AM10"/>
    <m/>
    <s v="No són taules LOG"/>
    <m/>
    <x v="0"/>
  </r>
  <r>
    <x v="18"/>
    <s v="BO_LOG_CARRECPERSONAL                           "/>
    <n v="560"/>
    <n v="0.546875"/>
    <x v="2"/>
    <s v="AM11"/>
    <s v="Politica d'esborrat anys anteriors, hi ha dades des del 2006"/>
    <s v="Procediments Oracle on desa els errors de les accions"/>
    <m/>
    <x v="1"/>
  </r>
  <r>
    <x v="42"/>
    <s v="RTT_SOLICITUD                                   "/>
    <n v="557"/>
    <n v="0.5439453125"/>
    <x v="0"/>
    <s v="AM10"/>
    <s v="Taula d'aplicació. No aplica"/>
    <m/>
    <m/>
    <x v="0"/>
  </r>
  <r>
    <x v="9"/>
    <s v="RALC_TB_AL_TUTOR_SOLLICITUD                     "/>
    <n v="553"/>
    <n v="0.5400390625"/>
    <x v="0"/>
    <s v="AM10"/>
    <m/>
    <s v="No són taules LOG"/>
    <m/>
    <x v="0"/>
  </r>
  <r>
    <x v="42"/>
    <s v="ZZTMPTB_FITXER_HOST_BASE                        "/>
    <n v="544"/>
    <n v="0.53125"/>
    <x v="2"/>
    <s v="AM10"/>
    <s v="Taula de backup del procés de migració de RTA"/>
    <m/>
    <m/>
    <x v="2"/>
  </r>
  <r>
    <x v="17"/>
    <s v="OLD_HST_AGD_AVA_GRUP_ITEM                       "/>
    <n v="538"/>
    <n v="0.525390625"/>
    <x v="0"/>
    <s v="AM10"/>
    <m/>
    <s v="No són taules LOG"/>
    <m/>
    <x v="0"/>
  </r>
  <r>
    <x v="61"/>
    <s v="GSD_CMD_TB_LOG                                  "/>
    <n v="536"/>
    <n v="0.5234375"/>
    <x v="0"/>
    <s v="AM05"/>
    <s v="No en té"/>
    <m/>
    <m/>
    <x v="0"/>
  </r>
  <r>
    <x v="38"/>
    <s v="GSDTBBLOC014                                    "/>
    <n v="536"/>
    <n v="0.5234375"/>
    <x v="0"/>
    <s v="AM05"/>
    <s v="No en té"/>
    <m/>
    <m/>
    <x v="0"/>
  </r>
  <r>
    <x v="18"/>
    <s v="ADM_EST_MATRICULA                               "/>
    <n v="536"/>
    <n v="0.5234375"/>
    <x v="2"/>
    <s v="AM11"/>
    <s v="Fa anys que no persisteixen dades, es podria netejar"/>
    <s v="Són dades d'estadística "/>
    <m/>
    <x v="1"/>
  </r>
  <r>
    <x v="62"/>
    <s v="FDC_MST_INPECTORS_X_ZONA                        "/>
    <n v="525"/>
    <n v="0.5126953125"/>
    <x v="0"/>
    <s v="AM10"/>
    <m/>
    <m/>
    <m/>
    <x v="0"/>
  </r>
  <r>
    <x v="38"/>
    <s v="GSDTBBLOC050                                    "/>
    <n v="497"/>
    <n v="0.48535156299999999"/>
    <x v="0"/>
    <s v="AM05"/>
    <s v="No en té"/>
    <m/>
    <m/>
    <x v="0"/>
  </r>
  <r>
    <x v="63"/>
    <s v="GSATBG00_LOG_CARREGUES                          "/>
    <n v="496"/>
    <n v="0.484375"/>
    <x v="0"/>
    <s v="AM10"/>
    <s v="No existeix política d'esborrat. "/>
    <m/>
    <m/>
    <x v="0"/>
  </r>
  <r>
    <x v="18"/>
    <s v="BO_DPT_PERSONALSUBSTITUIT                       "/>
    <n v="496"/>
    <n v="0.484375"/>
    <x v="0"/>
    <s v="AM11"/>
    <s v="Cal conservar"/>
    <m/>
    <m/>
    <x v="0"/>
  </r>
  <r>
    <x v="64"/>
    <s v="T_FORMU_RESULTATS                               "/>
    <n v="496"/>
    <n v="0.484375"/>
    <x v="3"/>
    <m/>
    <m/>
    <m/>
    <m/>
    <x v="0"/>
  </r>
  <r>
    <x v="46"/>
    <s v="GSD_OPO_TB_PLACES_PAS_PRI_TMP                   "/>
    <n v="488"/>
    <n v="0.4765625"/>
    <x v="0"/>
    <s v="AM05"/>
    <s v="No en té"/>
    <m/>
    <m/>
    <x v="0"/>
  </r>
  <r>
    <x v="8"/>
    <s v="OVT_PUBLITB_AP_SOLIC_20180427                   "/>
    <n v="488"/>
    <n v="0.4765625"/>
    <x v="2"/>
    <s v="AM10"/>
    <s v="Taula de backup antiga"/>
    <m/>
    <m/>
    <x v="2"/>
  </r>
  <r>
    <x v="64"/>
    <s v="MLOG$_T_FORMU_RESULTATS                         "/>
    <n v="488"/>
    <n v="0.4765625"/>
    <x v="3"/>
    <m/>
    <m/>
    <m/>
    <m/>
    <x v="0"/>
  </r>
  <r>
    <x v="16"/>
    <s v="BAE_LOG                                         "/>
    <n v="484"/>
    <n v="0.47265625"/>
    <x v="0"/>
    <s v="AM10"/>
    <s v="No existeix política d'esborrat. "/>
    <m/>
    <m/>
    <x v="0"/>
  </r>
  <r>
    <x v="65"/>
    <s v="TB_LOG_CANVICONTRASENYA_ACCIO                   "/>
    <n v="480"/>
    <n v="0.46875"/>
    <x v="0"/>
    <s v="AM10"/>
    <m/>
    <m/>
    <m/>
    <x v="0"/>
  </r>
  <r>
    <x v="41"/>
    <s v="BOR_ESPECIALITATS_PROFESSOR                     "/>
    <n v="474"/>
    <n v="0.462890625"/>
    <x v="0"/>
    <s v="AM05"/>
    <s v="No en té"/>
    <m/>
    <m/>
    <x v="0"/>
  </r>
  <r>
    <x v="66"/>
    <s v="UTILS_LOG                                       "/>
    <n v="472"/>
    <n v="0.4609375"/>
    <x v="0"/>
    <s v="AM10"/>
    <s v="No exisitex política d'esborrat"/>
    <m/>
    <m/>
    <x v="0"/>
  </r>
  <r>
    <x v="28"/>
    <s v="TMP_CALCUL                                      "/>
    <n v="449"/>
    <n v="0.4384765625"/>
    <x v="0"/>
    <s v="AM10"/>
    <m/>
    <s v="Es pot esborrar el contingut"/>
    <m/>
    <x v="0"/>
  </r>
  <r>
    <x v="41"/>
    <s v="BOR_PREF_COMARQUES                              "/>
    <n v="448"/>
    <n v="0.4375"/>
    <x v="0"/>
    <s v="AM05"/>
    <s v="No en té"/>
    <m/>
    <m/>
    <x v="0"/>
  </r>
  <r>
    <x v="67"/>
    <s v="GSD_MER_TB_COM_LOG                              "/>
    <n v="448"/>
    <n v="0.4375"/>
    <x v="0"/>
    <s v="AM05"/>
    <s v="No en té"/>
    <m/>
    <m/>
    <x v="0"/>
  </r>
  <r>
    <x v="40"/>
    <s v="IDATB06_AP_MATRICULA_HISTO                      "/>
    <n v="443"/>
    <n v="0.4326171875"/>
    <x v="2"/>
    <s v="AM10"/>
    <m/>
    <s v="Creiem que es pot eliminar"/>
    <m/>
    <x v="5"/>
  </r>
  <r>
    <x v="35"/>
    <s v="AO_STATS_CONJUNT_ESTADISTICS_V                  "/>
    <n v="428"/>
    <n v="0.41796875"/>
    <x v="0"/>
    <s v="AM05"/>
    <s v="No en té"/>
    <m/>
    <m/>
    <x v="0"/>
  </r>
  <r>
    <x v="68"/>
    <s v="PER_GTO_LOGAUX                                  "/>
    <n v="424"/>
    <n v="0.4140625"/>
    <x v="0"/>
    <s v="AM05"/>
    <s v="No en té"/>
    <m/>
    <m/>
    <x v="0"/>
  </r>
  <r>
    <x v="68"/>
    <s v="PER_OCUPACIO                                    "/>
    <n v="424"/>
    <n v="0.4140625"/>
    <x v="0"/>
    <s v="AM05"/>
    <s v="No en té"/>
    <m/>
    <m/>
    <x v="0"/>
  </r>
  <r>
    <x v="33"/>
    <s v="BORPASTB_AP_ENVIA_COMU                          "/>
    <n v="416"/>
    <n v="0.40625"/>
    <x v="0"/>
    <s v="AM05"/>
    <s v="No en té"/>
    <m/>
    <m/>
    <x v="0"/>
  </r>
  <r>
    <x v="56"/>
    <s v="PDATB_AP_INCI_LLOCS_PROP_HIST                   "/>
    <n v="416"/>
    <n v="0.40625"/>
    <x v="0"/>
    <s v="AM05"/>
    <s v="No en té"/>
    <m/>
    <m/>
    <x v="0"/>
  </r>
  <r>
    <x v="15"/>
    <s v="PLDTB_AP_CTRS_LLOCS                             "/>
    <n v="393"/>
    <n v="0.38378906299999999"/>
    <x v="0"/>
    <s v="AM05"/>
    <s v="No en té"/>
    <m/>
    <m/>
    <x v="0"/>
  </r>
  <r>
    <x v="26"/>
    <s v="GAVIS_TB_AVISOS                                 "/>
    <n v="392"/>
    <n v="0.3828125"/>
    <x v="0"/>
    <s v="AM05"/>
    <s v="No en té"/>
    <m/>
    <m/>
    <x v="0"/>
  </r>
  <r>
    <x v="42"/>
    <s v="RTT_ALUMNE                                      "/>
    <n v="392"/>
    <n v="0.3828125"/>
    <x v="0"/>
    <s v="AM10"/>
    <s v="Taula d'aplicació. No aplica"/>
    <m/>
    <m/>
    <x v="0"/>
  </r>
  <r>
    <x v="69"/>
    <s v="BOR_PREF_MUNICIPIS_LOG                          "/>
    <n v="384"/>
    <n v="0.375"/>
    <x v="2"/>
    <s v="AM05"/>
    <s v="No en té"/>
    <s v="S'esborra tot l'esquema"/>
    <m/>
    <x v="4"/>
  </r>
  <r>
    <x v="70"/>
    <s v="UTILS_TB_LOG                                    "/>
    <n v="384"/>
    <n v="0.375"/>
    <x v="0"/>
    <s v="AM10"/>
    <s v="No existeix política d'esborrat"/>
    <m/>
    <m/>
    <x v="0"/>
  </r>
  <r>
    <x v="71"/>
    <s v="LOG_CERQUES                                     "/>
    <n v="384"/>
    <n v="0.375"/>
    <x v="0"/>
    <s v="AM10"/>
    <m/>
    <m/>
    <m/>
    <x v="0"/>
  </r>
  <r>
    <x v="15"/>
    <s v="PLDTB_AP_CTRS_PLA_GRUPS                         "/>
    <n v="383"/>
    <n v="0.37402343799999999"/>
    <x v="0"/>
    <s v="AM05"/>
    <s v="No en té"/>
    <m/>
    <m/>
    <x v="0"/>
  </r>
  <r>
    <x v="40"/>
    <s v="IDATB_TP_ALUMNES_PAV                            "/>
    <n v="376"/>
    <n v="0.3671875"/>
    <x v="2"/>
    <s v="AM10"/>
    <m/>
    <s v="Creiem que es pot eliminar"/>
    <m/>
    <x v="5"/>
  </r>
  <r>
    <x v="49"/>
    <s v="OTG_MV_GPDTB848                                 "/>
    <n v="368"/>
    <n v="0.359375"/>
    <x v="0"/>
    <s v="AM10"/>
    <s v="Vista materialitzada de dades Host"/>
    <m/>
    <m/>
    <x v="0"/>
  </r>
  <r>
    <x v="9"/>
    <s v="RALC_TB_AL_DOMICILI                             "/>
    <n v="368"/>
    <n v="0.359375"/>
    <x v="0"/>
    <s v="AM10"/>
    <m/>
    <s v="No són taules LOG"/>
    <m/>
    <x v="0"/>
  </r>
  <r>
    <x v="9"/>
    <s v="RALC_TB_AL_TUTOR_ALUMNE_SOL                     "/>
    <n v="368"/>
    <n v="0.359375"/>
    <x v="0"/>
    <s v="AM10"/>
    <m/>
    <s v="No són taules LOG"/>
    <m/>
    <x v="0"/>
  </r>
  <r>
    <x v="15"/>
    <s v="PLDTB_AP_CTRS_LLOCS_VM                          "/>
    <n v="365"/>
    <n v="0.35644531299999999"/>
    <x v="0"/>
    <s v="AM05"/>
    <s v="No en té"/>
    <m/>
    <m/>
    <x v="0"/>
  </r>
  <r>
    <x v="33"/>
    <s v="BORPASTB_AP_COMUNICACIONS                       "/>
    <n v="360"/>
    <n v="0.3515625"/>
    <x v="0"/>
    <s v="AM05"/>
    <s v="No en té"/>
    <m/>
    <m/>
    <x v="0"/>
  </r>
  <r>
    <x v="72"/>
    <s v="ALUMNES_GLOBAL                                  "/>
    <n v="360"/>
    <n v="0.3515625"/>
    <x v="2"/>
    <s v="AM10"/>
    <s v="Es pot esborrar"/>
    <m/>
    <m/>
    <x v="2"/>
  </r>
  <r>
    <x v="73"/>
    <s v="VAGA_TB_LOG                                     "/>
    <n v="352"/>
    <n v="0.34375"/>
    <x v="0"/>
    <s v="AM05"/>
    <s v="No en té"/>
    <m/>
    <m/>
    <x v="0"/>
  </r>
  <r>
    <x v="9"/>
    <s v="RALC_TB_AL_PERSONAL                             "/>
    <n v="352"/>
    <n v="0.34375"/>
    <x v="0"/>
    <s v="AM10"/>
    <m/>
    <s v="No són taules LOG"/>
    <m/>
    <x v="0"/>
  </r>
  <r>
    <x v="74"/>
    <s v="BOR_PREF_MUNICIPIS                              "/>
    <n v="344"/>
    <n v="0.3359375"/>
    <x v="2"/>
    <s v="AM05"/>
    <s v="No en té"/>
    <s v="S'esborra tot l'esquema"/>
    <m/>
    <x v="4"/>
  </r>
  <r>
    <x v="51"/>
    <s v="PUBTB_AP_BAREMS                                 "/>
    <n v="344"/>
    <n v="0.3359375"/>
    <x v="0"/>
    <s v="AM05"/>
    <s v="No en té"/>
    <m/>
    <m/>
    <x v="0"/>
  </r>
  <r>
    <x v="49"/>
    <s v="OTG_MV_GPDTB006                                 "/>
    <n v="344"/>
    <n v="0.3359375"/>
    <x v="0"/>
    <s v="AM10"/>
    <s v="Vista materialitzada de dades Host"/>
    <m/>
    <m/>
    <x v="0"/>
  </r>
  <r>
    <x v="49"/>
    <s v="TB_S_GPD_GPDTB006                               "/>
    <n v="344"/>
    <n v="0.3359375"/>
    <x v="0"/>
    <s v="AM10"/>
    <s v="Taula/Vista d'aplicació. No aplica"/>
    <m/>
    <m/>
    <x v="0"/>
  </r>
  <r>
    <x v="75"/>
    <s v="HST_GES_TB_HST_GESO_HDQ                         "/>
    <n v="344"/>
    <n v="0.3359375"/>
    <x v="0"/>
    <s v="AM11"/>
    <s v="Cal conservar"/>
    <m/>
    <m/>
    <x v="0"/>
  </r>
  <r>
    <x v="28"/>
    <s v="POETB100_ERROR                                  "/>
    <n v="339"/>
    <n v="0.3310546875"/>
    <x v="0"/>
    <s v="AM10"/>
    <m/>
    <s v="Es pot esborrar el contingut"/>
    <m/>
    <x v="0"/>
  </r>
  <r>
    <x v="41"/>
    <s v="BOR_PROFESSORS                                  "/>
    <n v="337"/>
    <n v="0.32910156299999999"/>
    <x v="0"/>
    <s v="AM05"/>
    <s v="No en té"/>
    <m/>
    <m/>
    <x v="0"/>
  </r>
  <r>
    <x v="33"/>
    <s v="BORPASTB_AP_FOTO_LL_DISPONIB                    "/>
    <n v="336"/>
    <n v="0.328125"/>
    <x v="0"/>
    <s v="AM05"/>
    <s v="No en té"/>
    <m/>
    <m/>
    <x v="0"/>
  </r>
  <r>
    <x v="36"/>
    <s v="ALUMNES_GLOBAL                                  "/>
    <n v="336"/>
    <n v="0.328125"/>
    <x v="0"/>
    <s v="AM10"/>
    <s v="Taula d'aplicació. No aplica"/>
    <m/>
    <m/>
    <x v="0"/>
  </r>
  <r>
    <x v="51"/>
    <s v="PUBTB_ADJ_PERSONES                              "/>
    <n v="328"/>
    <n v="0.3203125"/>
    <x v="0"/>
    <s v="AM05"/>
    <s v="No en té"/>
    <m/>
    <m/>
    <x v="0"/>
  </r>
  <r>
    <x v="40"/>
    <s v="IDATB01_AP_DADES_ALUMNE                         "/>
    <n v="328"/>
    <n v="0.3203125"/>
    <x v="2"/>
    <s v="AM10"/>
    <m/>
    <s v="Creiem que es pot eliminar"/>
    <m/>
    <x v="5"/>
  </r>
  <r>
    <x v="64"/>
    <s v="DEBUG                                           "/>
    <n v="328"/>
    <n v="0.3203125"/>
    <x v="3"/>
    <m/>
    <m/>
    <m/>
    <m/>
    <x v="0"/>
  </r>
  <r>
    <x v="26"/>
    <s v="TRAC_TB_GRUPSPERS                               "/>
    <n v="326"/>
    <n v="0.318359375"/>
    <x v="0"/>
    <s v="AM05"/>
    <s v="No en té"/>
    <s v="Són aplicació Traçacovid - Es podrien historificar"/>
    <m/>
    <x v="0"/>
  </r>
  <r>
    <x v="20"/>
    <s v="HST_A4S_AVALUACIO_ALUMNE                        "/>
    <n v="323"/>
    <n v="0.3154296875"/>
    <x v="0"/>
    <s v="AM10"/>
    <m/>
    <s v="No són taules LOG"/>
    <m/>
    <x v="0"/>
  </r>
  <r>
    <x v="15"/>
    <s v="PLDTB_AP_CTRS_LLOC_DESG                         "/>
    <n v="321"/>
    <n v="0.31347656299999999"/>
    <x v="0"/>
    <s v="AM05"/>
    <s v="No en té"/>
    <m/>
    <m/>
    <x v="0"/>
  </r>
  <r>
    <x v="38"/>
    <s v="GSDTB_LOG_EXEC                                  "/>
    <n v="320"/>
    <n v="0.3125"/>
    <x v="0"/>
    <s v="AM05"/>
    <s v="No en té"/>
    <m/>
    <m/>
    <x v="0"/>
  </r>
  <r>
    <x v="76"/>
    <s v="HPSM_VM_GEPSE_EXP_INVENTARI                     "/>
    <n v="320"/>
    <n v="0.3125"/>
    <x v="3"/>
    <m/>
    <m/>
    <m/>
    <m/>
    <x v="0"/>
  </r>
  <r>
    <x v="26"/>
    <s v="TRAC_TB_DET_PERSONES                            "/>
    <n v="317"/>
    <n v="0.30957031299999999"/>
    <x v="0"/>
    <s v="AM05"/>
    <s v="No en té"/>
    <s v="Són aplicació Traçacovid - Es podrien historificar"/>
    <m/>
    <x v="0"/>
  </r>
  <r>
    <x v="39"/>
    <s v="GCONTB_TP_NOMINA                                "/>
    <n v="312"/>
    <n v="0.3046875"/>
    <x v="0"/>
    <s v="AM10"/>
    <s v="Taula d'aplicació. No aplica"/>
    <m/>
    <m/>
    <x v="0"/>
  </r>
  <r>
    <x v="49"/>
    <s v="OTG_MV_GSDV0370_BAREM                           "/>
    <n v="312"/>
    <n v="0.3046875"/>
    <x v="0"/>
    <s v="AM10"/>
    <s v="Vista materialitzada de dades Host"/>
    <m/>
    <m/>
    <x v="0"/>
  </r>
  <r>
    <x v="46"/>
    <s v="GSD_OPO_TB_LOGS                                 "/>
    <n v="304"/>
    <n v="0.296875"/>
    <x v="0"/>
    <s v="AM05"/>
    <s v="No en té"/>
    <m/>
    <m/>
    <x v="0"/>
  </r>
  <r>
    <x v="19"/>
    <s v="HST_A6P_ALUMNE                                  "/>
    <n v="304"/>
    <n v="0.296875"/>
    <x v="0"/>
    <s v="AM10"/>
    <m/>
    <s v="No són taules LOG"/>
    <m/>
    <x v="0"/>
  </r>
  <r>
    <x v="19"/>
    <s v="HST_A6P_AVALUACIO_ALUMNE                        "/>
    <n v="304"/>
    <n v="0.296875"/>
    <x v="0"/>
    <s v="AM10"/>
    <m/>
    <s v="No són taules LOG"/>
    <m/>
    <x v="0"/>
  </r>
  <r>
    <x v="40"/>
    <s v="IDATB99_LOG_ERRORS                              "/>
    <n v="304"/>
    <n v="0.296875"/>
    <x v="2"/>
    <s v="AM10"/>
    <m/>
    <s v="Creiem que es pot eliminar"/>
    <m/>
    <x v="5"/>
  </r>
  <r>
    <x v="28"/>
    <s v="POETB53_INFORME_PERSONAL                        "/>
    <n v="304"/>
    <n v="0.296875"/>
    <x v="0"/>
    <s v="AM10"/>
    <m/>
    <m/>
    <m/>
    <x v="0"/>
  </r>
  <r>
    <x v="9"/>
    <s v="RALC_TB_AL_TUTOR                                "/>
    <n v="304"/>
    <n v="0.296875"/>
    <x v="0"/>
    <s v="AM10"/>
    <m/>
    <s v="No són taules LOG"/>
    <m/>
    <x v="0"/>
  </r>
  <r>
    <x v="77"/>
    <s v="HISTORIC_RESPOSTESDESCRIPTORS                   "/>
    <n v="304"/>
    <n v="0.296875"/>
    <x v="3"/>
    <m/>
    <m/>
    <m/>
    <m/>
    <x v="0"/>
  </r>
  <r>
    <x v="13"/>
    <s v="VADTB_AP_ADJUDICACIO                            "/>
    <n v="290"/>
    <n v="0.283203125"/>
    <x v="0"/>
    <s v="AM05"/>
    <s v="No en té"/>
    <s v="Taula paral·lel adjudicació, s'eborra abans de cada execució"/>
    <m/>
    <x v="0"/>
  </r>
  <r>
    <x v="26"/>
    <s v="TRAC_TB_H2020_GRUPSPERS                         "/>
    <n v="288"/>
    <n v="0.28125"/>
    <x v="0"/>
    <s v="AM05"/>
    <s v="No en té"/>
    <s v="Són aplicació Traçacovid - Es podrien historificar"/>
    <m/>
    <x v="0"/>
  </r>
  <r>
    <x v="5"/>
    <s v="T_LOG_RESTRICCIO                                "/>
    <n v="288"/>
    <n v="0.28125"/>
    <x v="0"/>
    <s v="AM05"/>
    <s v="No en té"/>
    <m/>
    <m/>
    <x v="0"/>
  </r>
  <r>
    <x v="9"/>
    <s v="RALC_TB_AL_DOC_IDENTIFICATIU                    "/>
    <n v="288"/>
    <n v="0.28125"/>
    <x v="0"/>
    <s v="AM10"/>
    <m/>
    <s v="No són taules LOG"/>
    <m/>
    <x v="0"/>
  </r>
  <r>
    <x v="78"/>
    <s v="JOURNALARTICLE                                  "/>
    <n v="288"/>
    <n v="0.28125"/>
    <x v="3"/>
    <m/>
    <m/>
    <m/>
    <m/>
    <x v="0"/>
  </r>
  <r>
    <x v="79"/>
    <s v="PRA_LOG_ERROR                                   "/>
    <n v="280"/>
    <n v="0.2734375"/>
    <x v="0"/>
    <s v="AM05"/>
    <s v="No en té"/>
    <m/>
    <m/>
    <x v="0"/>
  </r>
  <r>
    <x v="9"/>
    <s v="RALC_TB_AL_PERSONAL_CSEG                        "/>
    <n v="280"/>
    <n v="0.2734375"/>
    <x v="0"/>
    <s v="AM10"/>
    <m/>
    <s v="No són taules LOG"/>
    <m/>
    <x v="0"/>
  </r>
  <r>
    <x v="9"/>
    <s v="RALC_TB_AL_PERSONAL_CSEG2                       "/>
    <n v="280"/>
    <n v="0.2734375"/>
    <x v="0"/>
    <s v="AM10"/>
    <m/>
    <s v="No són taules LOG"/>
    <m/>
    <x v="0"/>
  </r>
  <r>
    <x v="24"/>
    <s v="EX_V_DMA_MATRICULA                              "/>
    <n v="280"/>
    <n v="0.2734375"/>
    <x v="0"/>
    <s v="AM10"/>
    <m/>
    <m/>
    <m/>
    <x v="0"/>
  </r>
  <r>
    <x v="36"/>
    <s v="EXEMPLAR                                        "/>
    <n v="280"/>
    <n v="0.2734375"/>
    <x v="0"/>
    <s v="AM10"/>
    <s v="Taula d'aplicació. No aplica"/>
    <m/>
    <m/>
    <x v="0"/>
  </r>
  <r>
    <x v="77"/>
    <s v="HISTORIC_RESPOSTESDESCRIPTORS2                  "/>
    <n v="280"/>
    <n v="0.2734375"/>
    <x v="3"/>
    <m/>
    <m/>
    <m/>
    <m/>
    <x v="0"/>
  </r>
  <r>
    <x v="68"/>
    <s v="PER_VINCULACIO                                  "/>
    <n v="272"/>
    <n v="0.265625"/>
    <x v="0"/>
    <s v="AM05"/>
    <s v="No en té"/>
    <m/>
    <m/>
    <x v="0"/>
  </r>
  <r>
    <x v="53"/>
    <s v="ALUMNES_HOST                                    "/>
    <n v="272"/>
    <n v="0.265625"/>
    <x v="0"/>
    <s v="AM10"/>
    <s v="Taula d'aplicació. No aplica"/>
    <m/>
    <m/>
    <x v="0"/>
  </r>
  <r>
    <x v="42"/>
    <s v="RTT_ALUMNE_UNIC_LOG                             "/>
    <n v="272"/>
    <n v="0.265625"/>
    <x v="0"/>
    <s v="AM10"/>
    <s v="Cal conservar, No exisitex política d'esborrat"/>
    <m/>
    <m/>
    <x v="0"/>
  </r>
  <r>
    <x v="36"/>
    <s v="AUT_LLIBRE                                      "/>
    <n v="272"/>
    <n v="0.265625"/>
    <x v="0"/>
    <s v="AM10"/>
    <s v="Taula d'aplicació. No aplica"/>
    <m/>
    <m/>
    <x v="0"/>
  </r>
  <r>
    <x v="18"/>
    <s v="BO_LOG_OBSERVACIOPERSONAL                       "/>
    <n v="272"/>
    <n v="0.265625"/>
    <x v="2"/>
    <s v="AM11"/>
    <s v="Politica d'esborrat anys anteriors, hi ha dades des del 2006"/>
    <s v="Procediments Oracle on desa els errors de les accions"/>
    <m/>
    <x v="1"/>
  </r>
  <r>
    <x v="15"/>
    <s v="PLDTB_AP_CTRS_CARRECS                           "/>
    <n v="265"/>
    <n v="0.25878906299999999"/>
    <x v="0"/>
    <s v="AM05"/>
    <s v="No en té"/>
    <m/>
    <m/>
    <x v="0"/>
  </r>
  <r>
    <x v="73"/>
    <s v="DADES_VAGA                                      "/>
    <n v="264"/>
    <n v="0.2578125"/>
    <x v="0"/>
    <s v="AM05"/>
    <s v="No en té"/>
    <s v="Vaga antiga. Es pot esborrar"/>
    <m/>
    <x v="0"/>
  </r>
  <r>
    <x v="20"/>
    <s v="HST_A4S_ALUMNE                                  "/>
    <n v="264"/>
    <n v="0.2578125"/>
    <x v="0"/>
    <s v="AM10"/>
    <m/>
    <s v="No són taules LOG"/>
    <m/>
    <x v="0"/>
  </r>
  <r>
    <x v="16"/>
    <s v="BKBAE_DMA_CONCLUSIO                             "/>
    <n v="264"/>
    <n v="0.2578125"/>
    <x v="2"/>
    <s v="AM10"/>
    <s v="Taula de backup sol·licitada en un AGIN ja resolt"/>
    <m/>
    <m/>
    <x v="2"/>
  </r>
  <r>
    <x v="49"/>
    <s v="OTG_MV_GSDV0230_ESPSIP                          "/>
    <n v="264"/>
    <n v="0.2578125"/>
    <x v="0"/>
    <s v="AM10"/>
    <s v="Vista materialitzada de dades Host"/>
    <m/>
    <m/>
    <x v="0"/>
  </r>
  <r>
    <x v="80"/>
    <s v="ECNDTB06REGISTRE                                "/>
    <n v="256"/>
    <n v="0.25"/>
    <x v="0"/>
    <s v="AM05"/>
    <s v="No en té"/>
    <m/>
    <m/>
    <x v="0"/>
  </r>
  <r>
    <x v="68"/>
    <s v="AUXPER_LLOCS                                    "/>
    <n v="256"/>
    <n v="0.25"/>
    <x v="0"/>
    <s v="AM05"/>
    <s v="No en té"/>
    <m/>
    <m/>
    <x v="0"/>
  </r>
  <r>
    <x v="68"/>
    <s v="AUXPER_VINCULACIO                               "/>
    <n v="256"/>
    <n v="0.25"/>
    <x v="0"/>
    <s v="AM05"/>
    <s v="No en té"/>
    <m/>
    <m/>
    <x v="0"/>
  </r>
  <r>
    <x v="16"/>
    <s v="BKBAE_DMA_AVALUACIO_GLOBAL                      "/>
    <n v="256"/>
    <n v="0.25"/>
    <x v="2"/>
    <s v="AM10"/>
    <s v="Taula de backup sol·licitada en un AGIN ja resolt"/>
    <m/>
    <m/>
    <x v="2"/>
  </r>
  <r>
    <x v="81"/>
    <s v="CARNETS                                         "/>
    <n v="256"/>
    <n v="0.25"/>
    <x v="0"/>
    <s v="AM10"/>
    <s v="Taula d'aplicació. No aplica"/>
    <m/>
    <m/>
    <x v="0"/>
  </r>
  <r>
    <x v="40"/>
    <s v="IDATB02_AP_DOMICILI                             "/>
    <n v="256"/>
    <n v="0.25"/>
    <x v="2"/>
    <s v="AM10"/>
    <m/>
    <s v="Creiem que es pot eliminar"/>
    <m/>
    <x v="5"/>
  </r>
  <r>
    <x v="53"/>
    <s v="FITSIT2_TMP                                     "/>
    <n v="256"/>
    <n v="0.25"/>
    <x v="0"/>
    <s v="AM10"/>
    <s v="Taula d'aplicació. No aplica"/>
    <m/>
    <m/>
    <x v="0"/>
  </r>
  <r>
    <x v="24"/>
    <s v="EX_SIIVW_SIDIE_FP_MATRICULES                    "/>
    <n v="256"/>
    <n v="0.25"/>
    <x v="0"/>
    <s v="AM10"/>
    <m/>
    <m/>
    <m/>
    <x v="0"/>
  </r>
  <r>
    <x v="7"/>
    <s v="MAUT_LOG                                        "/>
    <n v="256"/>
    <n v="0.25"/>
    <x v="0"/>
    <s v="AM10"/>
    <s v="No exisitex política d'esborrat"/>
    <m/>
    <m/>
    <x v="0"/>
  </r>
  <r>
    <x v="82"/>
    <s v="SIDIEVW_QEST_MATRICULA                          "/>
    <n v="256"/>
    <n v="0.25"/>
    <x v="0"/>
    <s v="AM10"/>
    <m/>
    <m/>
    <m/>
    <x v="0"/>
  </r>
  <r>
    <x v="68"/>
    <s v="PER_LLOCS                                       "/>
    <n v="255"/>
    <n v="0.24902343800000001"/>
    <x v="0"/>
    <s v="AM05"/>
    <s v="No en té"/>
    <m/>
    <m/>
    <x v="0"/>
  </r>
  <r>
    <x v="61"/>
    <s v="GSD_CMD_TB_BAREM_ALEG_SOL_LOG                   "/>
    <n v="248"/>
    <n v="0.2421875"/>
    <x v="0"/>
    <s v="AM05"/>
    <s v="No en té"/>
    <m/>
    <m/>
    <x v="0"/>
  </r>
  <r>
    <x v="0"/>
    <s v="ALE_TB_ANNEX_RESP                               "/>
    <n v="248"/>
    <n v="0.2421875"/>
    <x v="0"/>
    <s v="AM10"/>
    <m/>
    <s v="No són taules LOG"/>
    <m/>
    <x v="0"/>
  </r>
  <r>
    <x v="25"/>
    <s v="GSATBG104_ERROR                                 "/>
    <n v="248"/>
    <n v="0.2421875"/>
    <x v="0"/>
    <s v="AM10"/>
    <s v="No existeix política d'esborrat. "/>
    <m/>
    <m/>
    <x v="0"/>
  </r>
  <r>
    <x v="24"/>
    <s v="EX_SIDIEVW_SII_MATRICULES_ALL                   "/>
    <n v="248"/>
    <n v="0.2421875"/>
    <x v="0"/>
    <s v="AM10"/>
    <m/>
    <m/>
    <m/>
    <x v="0"/>
  </r>
  <r>
    <x v="24"/>
    <s v="EX_V_DMA_MATRICULA_LLENGUES                     "/>
    <n v="248"/>
    <n v="0.2421875"/>
    <x v="0"/>
    <s v="AM10"/>
    <m/>
    <m/>
    <m/>
    <x v="0"/>
  </r>
  <r>
    <x v="36"/>
    <s v="AUTOR                                           "/>
    <n v="248"/>
    <n v="0.2421875"/>
    <x v="0"/>
    <s v="AM10"/>
    <s v="Taula d'aplicació. No aplica"/>
    <m/>
    <m/>
    <x v="0"/>
  </r>
  <r>
    <x v="83"/>
    <s v="UTILS_TB_LOG                                    "/>
    <n v="248"/>
    <n v="0.2421875"/>
    <x v="2"/>
    <s v="AM11"/>
    <s v="Politica d'esborrat anys anteriors, hi ha dades des del 2018"/>
    <s v="Logs d'execucions de processos"/>
    <m/>
    <x v="6"/>
  </r>
  <r>
    <x v="68"/>
    <s v="AUX_LLOCS                                       "/>
    <n v="240"/>
    <n v="0.234375"/>
    <x v="0"/>
    <s v="AM05"/>
    <s v="No en té"/>
    <m/>
    <m/>
    <x v="0"/>
  </r>
  <r>
    <x v="49"/>
    <s v="OTG_MV_GSDV0200_SOLIC                           "/>
    <n v="240"/>
    <n v="0.234375"/>
    <x v="0"/>
    <s v="AM10"/>
    <s v="Vista materialitzada de dades Host"/>
    <m/>
    <m/>
    <x v="0"/>
  </r>
  <r>
    <x v="24"/>
    <s v="EX_V_DMA_CONCLUSIO                              "/>
    <n v="240"/>
    <n v="0.234375"/>
    <x v="0"/>
    <s v="AM10"/>
    <m/>
    <m/>
    <m/>
    <x v="0"/>
  </r>
  <r>
    <x v="36"/>
    <s v="DESCRIPTOR                                      "/>
    <n v="240"/>
    <n v="0.234375"/>
    <x v="0"/>
    <s v="AM10"/>
    <s v="Taula d'aplicació. No aplica"/>
    <m/>
    <m/>
    <x v="0"/>
  </r>
  <r>
    <x v="37"/>
    <s v="SIDIE_EX1_MATRICULA_BAL                         "/>
    <n v="232"/>
    <n v="0.2265625"/>
    <x v="0"/>
    <s v="AM10"/>
    <m/>
    <m/>
    <m/>
    <x v="0"/>
  </r>
  <r>
    <x v="39"/>
    <s v="GCONTB_CO_REGISTRE                              "/>
    <n v="232"/>
    <n v="0.2265625"/>
    <x v="0"/>
    <s v="AM10"/>
    <s v="Taula d'aplicació. No aplica"/>
    <m/>
    <m/>
    <x v="0"/>
  </r>
  <r>
    <x v="63"/>
    <s v="GSATBG34_DETALL_CERTIFICAT                      "/>
    <n v="232"/>
    <n v="0.2265625"/>
    <x v="0"/>
    <s v="AM10"/>
    <s v="Taula d'aplicació. No aplica"/>
    <m/>
    <m/>
    <x v="0"/>
  </r>
  <r>
    <x v="9"/>
    <s v="RALC_TB_AL_TUTOR_ALUMNE                         "/>
    <n v="232"/>
    <n v="0.2265625"/>
    <x v="0"/>
    <s v="AM10"/>
    <m/>
    <s v="No són taules LOG"/>
    <m/>
    <x v="0"/>
  </r>
  <r>
    <x v="42"/>
    <s v="RTT_ALUMNE_UNIC                                 "/>
    <n v="232"/>
    <n v="0.2265625"/>
    <x v="0"/>
    <s v="AM10"/>
    <s v="Taula d'aplicació. No aplica"/>
    <m/>
    <m/>
    <x v="0"/>
  </r>
  <r>
    <x v="31"/>
    <s v="SIITBMAT_FITXER_ANYANT                          "/>
    <n v="232"/>
    <n v="0.2265625"/>
    <x v="0"/>
    <s v="AM10"/>
    <m/>
    <m/>
    <m/>
    <x v="0"/>
  </r>
  <r>
    <x v="18"/>
    <s v="BO_LOG_ERRORENTITAT                             "/>
    <n v="232"/>
    <n v="0.2265625"/>
    <x v="2"/>
    <s v="AM11"/>
    <s v="Politica d'esborrat anys anteriors, hi ha dades des del 2006"/>
    <s v="Procediments Oracle on desa els errors de les accions"/>
    <m/>
    <x v="1"/>
  </r>
  <r>
    <x v="26"/>
    <s v="TRAC_TB_LOG                                     "/>
    <n v="224"/>
    <n v="0.21875"/>
    <x v="0"/>
    <s v="AM05"/>
    <s v="No en té"/>
    <s v="Són aplicació Traçacovid - Es podrien historificar"/>
    <m/>
    <x v="0"/>
  </r>
  <r>
    <x v="57"/>
    <s v="ACTA_RESPOSTES_FORMADORS                        "/>
    <n v="224"/>
    <n v="0.21875"/>
    <x v="0"/>
    <s v="AM05"/>
    <s v="No en té"/>
    <m/>
    <m/>
    <x v="0"/>
  </r>
  <r>
    <x v="40"/>
    <s v="IDATB_TP_ALUMNES_BAL                            "/>
    <n v="224"/>
    <n v="0.21875"/>
    <x v="2"/>
    <s v="AM10"/>
    <m/>
    <s v="Creiem que es pot eliminar"/>
    <m/>
    <x v="5"/>
  </r>
  <r>
    <x v="72"/>
    <s v="ALUMNES_GLOBAL_HISTO_BAIXA                      "/>
    <n v="224"/>
    <n v="0.21875"/>
    <x v="2"/>
    <s v="AM10"/>
    <s v="Es pot esborrar"/>
    <m/>
    <m/>
    <x v="2"/>
  </r>
  <r>
    <x v="84"/>
    <s v="PDC_TB_PUNTPARTIDA                              "/>
    <n v="224"/>
    <n v="0.21875"/>
    <x v="0"/>
    <s v="AM10"/>
    <s v="No existeix política d'esborrat. "/>
    <m/>
    <m/>
    <x v="0"/>
  </r>
  <r>
    <x v="9"/>
    <s v="RALC_TB_AL_DOC_IDENTIF_CSEG2                    "/>
    <n v="224"/>
    <n v="0.21875"/>
    <x v="0"/>
    <s v="AM10"/>
    <m/>
    <s v="No són taules LOG"/>
    <m/>
    <x v="0"/>
  </r>
  <r>
    <x v="24"/>
    <s v="EX_SIDIEVW_SII_MATRICULES                       "/>
    <n v="224"/>
    <n v="0.21875"/>
    <x v="0"/>
    <s v="AM10"/>
    <m/>
    <m/>
    <m/>
    <x v="0"/>
  </r>
  <r>
    <x v="75"/>
    <s v="GES_VW_HDQ_GESAPEX_VM                           "/>
    <n v="224"/>
    <n v="0.21875"/>
    <x v="0"/>
    <s v="AM11"/>
    <s v="Cal conservar"/>
    <m/>
    <m/>
    <x v="0"/>
  </r>
  <r>
    <x v="67"/>
    <s v="GSD_MER_TB_LOG                                  "/>
    <n v="218"/>
    <n v="0.212890625"/>
    <x v="0"/>
    <s v="AM05"/>
    <s v="No en té"/>
    <m/>
    <m/>
    <x v="0"/>
  </r>
  <r>
    <x v="85"/>
    <s v="NOV_SOL_MUNICIPIS                               "/>
    <n v="216"/>
    <n v="0.2109375"/>
    <x v="0"/>
    <s v="AM05"/>
    <s v="No en té"/>
    <m/>
    <m/>
    <x v="0"/>
  </r>
  <r>
    <x v="68"/>
    <s v="AUXPER_SITADM                                   "/>
    <n v="216"/>
    <n v="0.2109375"/>
    <x v="0"/>
    <s v="AM05"/>
    <s v="No en té"/>
    <m/>
    <m/>
    <x v="0"/>
  </r>
  <r>
    <x v="68"/>
    <s v="PER_SITADM                                      "/>
    <n v="216"/>
    <n v="0.2109375"/>
    <x v="0"/>
    <s v="AM05"/>
    <s v="No en té"/>
    <m/>
    <m/>
    <x v="0"/>
  </r>
  <r>
    <x v="26"/>
    <s v="TRAC_TB_H2020_PERS                              "/>
    <n v="216"/>
    <n v="0.2109375"/>
    <x v="0"/>
    <s v="AM05"/>
    <s v="No en té"/>
    <s v="Són aplicació Traçacovid - Es podrien historificar"/>
    <m/>
    <x v="0"/>
  </r>
  <r>
    <x v="9"/>
    <s v="RALC_TB_AL_DOC_IDENTIF_CSEG                     "/>
    <n v="216"/>
    <n v="0.2109375"/>
    <x v="0"/>
    <s v="AM10"/>
    <m/>
    <s v="No són taules LOG"/>
    <m/>
    <x v="0"/>
  </r>
  <r>
    <x v="33"/>
    <s v="BORPASTB_AP_FOTO_LL_DADES_PERS                  "/>
    <n v="208"/>
    <n v="0.203125"/>
    <x v="0"/>
    <s v="AM05"/>
    <s v="No en té"/>
    <m/>
    <m/>
    <x v="0"/>
  </r>
  <r>
    <x v="46"/>
    <s v="GSD_OPO_TB_PLACES_SOL_PAS                       "/>
    <n v="208"/>
    <n v="0.203125"/>
    <x v="0"/>
    <s v="AM05"/>
    <s v="No en té"/>
    <m/>
    <m/>
    <x v="0"/>
  </r>
  <r>
    <x v="56"/>
    <s v="PDATB_AP_DADES_GIP_AUX                          "/>
    <n v="208"/>
    <n v="0.203125"/>
    <x v="0"/>
    <s v="AM05"/>
    <s v="No en té"/>
    <s v="Es poden esborrar periodicament. Proposta esborrar registres de convocatòries no vigents"/>
    <m/>
    <x v="0"/>
  </r>
  <r>
    <x v="21"/>
    <s v="AACTBVALIDACIONS                                "/>
    <n v="208"/>
    <n v="0.203125"/>
    <x v="0"/>
    <s v="AM10"/>
    <s v="No existeix política d'esborrat. "/>
    <m/>
    <m/>
    <x v="0"/>
  </r>
  <r>
    <x v="49"/>
    <s v="OTG_MV_GSDV0240_TITOLSIP                        "/>
    <n v="208"/>
    <n v="0.203125"/>
    <x v="0"/>
    <s v="AM10"/>
    <s v="Vista materialitzada de dades Host"/>
    <m/>
    <m/>
    <x v="0"/>
  </r>
  <r>
    <x v="86"/>
    <s v="PQPI_TB_AVALUACIO_MODUL                         "/>
    <n v="208"/>
    <n v="0.203125"/>
    <x v="0"/>
    <s v="AM11"/>
    <s v="Cal conservar"/>
    <m/>
    <m/>
    <x v="0"/>
  </r>
  <r>
    <x v="18"/>
    <s v="ADM_EST_GRUPSCLASSE                             "/>
    <n v="208"/>
    <n v="0.203125"/>
    <x v="2"/>
    <s v="AM11"/>
    <s v="Fa anys que no persisteixen dades, es podria netejar"/>
    <s v="Són dades d'estadística "/>
    <m/>
    <x v="1"/>
  </r>
  <r>
    <x v="41"/>
    <s v="BOR_PREF_SERVEIS_TERRITORIALS                   "/>
    <n v="201"/>
    <n v="0.19628906300000001"/>
    <x v="0"/>
    <s v="AM05"/>
    <s v="No en té"/>
    <m/>
    <m/>
    <x v="0"/>
  </r>
  <r>
    <x v="87"/>
    <s v="VADTB_LOG                                       "/>
    <n v="200"/>
    <n v="0.1953125"/>
    <x v="0"/>
    <s v="AM05"/>
    <s v="No en té"/>
    <m/>
    <m/>
    <x v="0"/>
  </r>
  <r>
    <x v="50"/>
    <s v="T_LOGS                                          "/>
    <n v="200"/>
    <n v="0.1953125"/>
    <x v="0"/>
    <s v="AM05"/>
    <s v="No en té"/>
    <m/>
    <m/>
    <x v="0"/>
  </r>
  <r>
    <x v="20"/>
    <s v="OLD_A4S_WS_PETICIO                              "/>
    <n v="200"/>
    <n v="0.1953125"/>
    <x v="2"/>
    <s v="AM10"/>
    <m/>
    <s v="No són taules LOG"/>
    <m/>
    <x v="2"/>
  </r>
  <r>
    <x v="12"/>
    <s v="MSG_02_LOGS                                     "/>
    <n v="200"/>
    <n v="0.1953125"/>
    <x v="0"/>
    <s v="AM10"/>
    <s v="No exisitex política d'esborrat"/>
    <m/>
    <m/>
    <x v="0"/>
  </r>
  <r>
    <x v="49"/>
    <s v="OTG_MV_GSDV0290_ALTRESSIP                       "/>
    <n v="200"/>
    <n v="0.1953125"/>
    <x v="0"/>
    <s v="AM10"/>
    <s v="Vista materialitzada de dades Host"/>
    <m/>
    <m/>
    <x v="0"/>
  </r>
  <r>
    <x v="72"/>
    <s v="ADV_MOVIMENT                                    "/>
    <n v="200"/>
    <n v="0.1953125"/>
    <x v="2"/>
    <s v="AM10"/>
    <s v="Es pot esborrar"/>
    <m/>
    <m/>
    <x v="2"/>
  </r>
  <r>
    <x v="84"/>
    <s v="PDC_TB_ACTUACIONS                               "/>
    <n v="200"/>
    <n v="0.1953125"/>
    <x v="0"/>
    <s v="AM10"/>
    <s v="No existeix política d'esborrat. "/>
    <m/>
    <m/>
    <x v="0"/>
  </r>
  <r>
    <x v="42"/>
    <s v="RTT_TITOL_ALUMNE                                "/>
    <n v="200"/>
    <n v="0.1953125"/>
    <x v="0"/>
    <s v="AM10"/>
    <s v="Taula d'aplicació. No aplica"/>
    <m/>
    <m/>
    <x v="0"/>
  </r>
  <r>
    <x v="24"/>
    <s v="EX_V_DMA_MATRICULA_LLENG_ESTR                   "/>
    <n v="200"/>
    <n v="0.1953125"/>
    <x v="0"/>
    <s v="AM10"/>
    <m/>
    <m/>
    <m/>
    <x v="0"/>
  </r>
  <r>
    <x v="24"/>
    <s v="EX_V_DMA_MATRICULA_RELIGIO                      "/>
    <n v="200"/>
    <n v="0.1953125"/>
    <x v="0"/>
    <s v="AM10"/>
    <m/>
    <m/>
    <m/>
    <x v="0"/>
  </r>
  <r>
    <x v="75"/>
    <s v="HST_GES_TB_DETALL_MODUL_ALUMNE                  "/>
    <n v="200"/>
    <n v="0.1953125"/>
    <x v="0"/>
    <s v="AM11"/>
    <s v="Cal conservar"/>
    <m/>
    <m/>
    <x v="0"/>
  </r>
  <r>
    <x v="88"/>
    <s v="PQPI_TB_AVALUACIO_MODUL                         "/>
    <n v="200"/>
    <n v="0.1953125"/>
    <x v="0"/>
    <s v="AM11"/>
    <s v="Cal conservar"/>
    <m/>
    <m/>
    <x v="0"/>
  </r>
  <r>
    <x v="18"/>
    <s v="BO_DPT_PERSCENTRE_SUBSTITUIT                    "/>
    <n v="200"/>
    <n v="0.1953125"/>
    <x v="0"/>
    <s v="AM11"/>
    <s v="Cal conservar"/>
    <m/>
    <m/>
    <x v="0"/>
  </r>
  <r>
    <x v="72"/>
    <s v="ADVP_MOVIMENT                                   "/>
    <n v="194"/>
    <n v="0.189453125"/>
    <x v="2"/>
    <s v="AM10"/>
    <s v="Es pot esborrar"/>
    <m/>
    <m/>
    <x v="2"/>
  </r>
  <r>
    <x v="41"/>
    <s v="BOR_PREF_DISTRICTES                             "/>
    <n v="192"/>
    <n v="0.1875"/>
    <x v="0"/>
    <s v="AM05"/>
    <s v="No en té"/>
    <m/>
    <m/>
    <x v="0"/>
  </r>
  <r>
    <x v="33"/>
    <s v="BORPASTB_AP_DISPONIB_CANDIDATU                  "/>
    <n v="192"/>
    <n v="0.1875"/>
    <x v="0"/>
    <s v="AM05"/>
    <s v="No en té"/>
    <m/>
    <m/>
    <x v="0"/>
  </r>
  <r>
    <x v="89"/>
    <s v="OFETB_LOG                                       "/>
    <n v="192"/>
    <n v="0.1875"/>
    <x v="0"/>
    <s v="AM05"/>
    <s v="No en té"/>
    <m/>
    <m/>
    <x v="0"/>
  </r>
  <r>
    <x v="35"/>
    <s v="AO_DESCRIPTORSCONTEXT                           "/>
    <n v="192"/>
    <n v="0.1875"/>
    <x v="0"/>
    <s v="AM05"/>
    <s v="No en té"/>
    <m/>
    <m/>
    <x v="0"/>
  </r>
  <r>
    <x v="90"/>
    <s v="GSATBG00_LOG_CARREGUES                          "/>
    <n v="192"/>
    <n v="0.1875"/>
    <x v="0"/>
    <s v="AM10"/>
    <s v="No existeix política d'esborrat. "/>
    <m/>
    <m/>
    <x v="0"/>
  </r>
  <r>
    <x v="49"/>
    <s v="OTG_MV_GSDV0260_LLOCSIP                         "/>
    <n v="192"/>
    <n v="0.1875"/>
    <x v="0"/>
    <s v="AM10"/>
    <s v="Vista materialitzada de dades Host"/>
    <m/>
    <m/>
    <x v="0"/>
  </r>
  <r>
    <x v="91"/>
    <s v="UTILS_TB_LOG                                    "/>
    <n v="192"/>
    <n v="0.1875"/>
    <x v="0"/>
    <s v="AM10"/>
    <m/>
    <m/>
    <m/>
    <x v="0"/>
  </r>
  <r>
    <x v="92"/>
    <s v="GINTB19CARTES                                   "/>
    <n v="192"/>
    <n v="0.1875"/>
    <x v="0"/>
    <s v="AM15"/>
    <s v="Cal conservar"/>
    <m/>
    <m/>
    <x v="0"/>
  </r>
  <r>
    <x v="41"/>
    <s v="BOR_TELEFONS                                    "/>
    <n v="184"/>
    <n v="0.1796875"/>
    <x v="0"/>
    <s v="AM05"/>
    <s v="No en té"/>
    <m/>
    <m/>
    <x v="0"/>
  </r>
  <r>
    <x v="26"/>
    <s v="TRAC_TB_GLOBAL                                  "/>
    <n v="184"/>
    <n v="0.1796875"/>
    <x v="0"/>
    <s v="AM05"/>
    <s v="No en té"/>
    <s v="Són aplicació Traçacovid - Es podrien historificar"/>
    <m/>
    <x v="0"/>
  </r>
  <r>
    <x v="63"/>
    <s v="GSATBG27_DETALL_EXPEDIENT                       "/>
    <n v="184"/>
    <n v="0.1796875"/>
    <x v="0"/>
    <s v="AM10"/>
    <s v="Taula d'aplicació. No aplica"/>
    <m/>
    <m/>
    <x v="0"/>
  </r>
  <r>
    <x v="49"/>
    <s v="OTG_MV_GSDV0330_ESP                             "/>
    <n v="184"/>
    <n v="0.1796875"/>
    <x v="0"/>
    <s v="AM10"/>
    <s v="Vista materialitzada de dades Host"/>
    <m/>
    <m/>
    <x v="0"/>
  </r>
  <r>
    <x v="49"/>
    <s v="OTG_MV_GSDV0400_INCAUT                          "/>
    <n v="184"/>
    <n v="0.1796875"/>
    <x v="0"/>
    <s v="AM10"/>
    <s v="Vista materialitzada de dades Host"/>
    <m/>
    <m/>
    <x v="0"/>
  </r>
  <r>
    <x v="36"/>
    <s v="EDIT_LLIBRE                                     "/>
    <n v="184"/>
    <n v="0.1796875"/>
    <x v="0"/>
    <s v="AM10"/>
    <s v="Taula d'aplicació. No aplica"/>
    <m/>
    <m/>
    <x v="0"/>
  </r>
  <r>
    <x v="18"/>
    <s v="BO_DPT_PERSONALCENTRE                           "/>
    <n v="184"/>
    <n v="0.1796875"/>
    <x v="0"/>
    <s v="AM11"/>
    <s v="Cal conservar"/>
    <m/>
    <m/>
    <x v="0"/>
  </r>
  <r>
    <x v="72"/>
    <s v="ALUM_GLOBAL_POST                                "/>
    <n v="179"/>
    <n v="0.1748046875"/>
    <x v="2"/>
    <s v="AM10"/>
    <s v="Es pot esborrar"/>
    <m/>
    <m/>
    <x v="2"/>
  </r>
  <r>
    <x v="67"/>
    <s v="GSD_MER_TB_SOL_FORM_PERM_GEST                   "/>
    <n v="176"/>
    <n v="0.171875"/>
    <x v="0"/>
    <s v="AM05"/>
    <s v="No en té"/>
    <m/>
    <m/>
    <x v="0"/>
  </r>
  <r>
    <x v="55"/>
    <s v="HST_AD_TB_ALUMNE                                "/>
    <n v="176"/>
    <n v="0.171875"/>
    <x v="0"/>
    <s v="AM10"/>
    <m/>
    <m/>
    <m/>
    <x v="0"/>
  </r>
  <r>
    <x v="16"/>
    <s v="BAE_DMA_MATRICULA_FP                            "/>
    <n v="176"/>
    <n v="0.171875"/>
    <x v="0"/>
    <s v="AM10"/>
    <s v="Cal conservar, dades amb finestra de dos anys"/>
    <m/>
    <m/>
    <x v="0"/>
  </r>
  <r>
    <x v="0"/>
    <s v="ALE_TB_TRAMIT                                   "/>
    <n v="176"/>
    <n v="0.171875"/>
    <x v="0"/>
    <s v="AM10"/>
    <m/>
    <s v="No són taules LOG"/>
    <m/>
    <x v="0"/>
  </r>
  <r>
    <x v="39"/>
    <s v="GCONTB_CO_MISSATGES                             "/>
    <n v="176"/>
    <n v="0.171875"/>
    <x v="0"/>
    <s v="AM10"/>
    <s v="Taula d'aplicació. No aplica"/>
    <m/>
    <m/>
    <x v="0"/>
  </r>
  <r>
    <x v="9"/>
    <s v="BKP_RALC_TB_AL_TUTOR                            "/>
    <n v="176"/>
    <n v="0.171875"/>
    <x v="2"/>
    <s v="AM10"/>
    <m/>
    <m/>
    <m/>
    <x v="2"/>
  </r>
  <r>
    <x v="93"/>
    <s v="TB_RALC_ALUMNE                                  "/>
    <n v="176"/>
    <n v="0.171875"/>
    <x v="0"/>
    <s v="AM11"/>
    <s v="Cal conservar"/>
    <m/>
    <m/>
    <x v="0"/>
  </r>
  <r>
    <x v="5"/>
    <s v="T_FOR_ERR_LOG                                   "/>
    <n v="174"/>
    <n v="0.169921875"/>
    <x v="0"/>
    <s v="AM05"/>
    <s v="No en té"/>
    <m/>
    <m/>
    <x v="0"/>
  </r>
  <r>
    <x v="41"/>
    <s v="NOVACO_SOLICITUD_MUN_AMBITS                     "/>
    <n v="173"/>
    <n v="0.16894531300000001"/>
    <x v="0"/>
    <s v="AM05"/>
    <s v="No en té"/>
    <m/>
    <m/>
    <x v="0"/>
  </r>
  <r>
    <x v="68"/>
    <s v="AUXPER_PERFILS                                  "/>
    <n v="170"/>
    <n v="0.166015625"/>
    <x v="0"/>
    <s v="AM05"/>
    <s v="No en té"/>
    <m/>
    <m/>
    <x v="0"/>
  </r>
  <r>
    <x v="41"/>
    <s v="EXPORTACIO_WEB_GIP                              "/>
    <n v="168"/>
    <n v="0.1640625"/>
    <x v="0"/>
    <s v="AM05"/>
    <s v="No en té"/>
    <m/>
    <m/>
    <x v="0"/>
  </r>
  <r>
    <x v="38"/>
    <s v="GSDTBBLOC016                                    "/>
    <n v="168"/>
    <n v="0.1640625"/>
    <x v="0"/>
    <s v="AM05"/>
    <s v="No en té"/>
    <m/>
    <m/>
    <x v="0"/>
  </r>
  <r>
    <x v="68"/>
    <s v="PER_PERFILS                                     "/>
    <n v="168"/>
    <n v="0.1640625"/>
    <x v="0"/>
    <s v="AM05"/>
    <s v="No en té"/>
    <m/>
    <m/>
    <x v="0"/>
  </r>
  <r>
    <x v="39"/>
    <s v="GCONTB_MG_LOG                                   "/>
    <n v="168"/>
    <n v="0.1640625"/>
    <x v="0"/>
    <s v="AM10"/>
    <s v="No existeix política d'esborrat. "/>
    <m/>
    <m/>
    <x v="0"/>
  </r>
  <r>
    <x v="36"/>
    <s v="LLENGUA_LLIBRE                                  "/>
    <n v="168"/>
    <n v="0.1640625"/>
    <x v="0"/>
    <s v="AM10"/>
    <s v="Taula d'aplicació. No aplica"/>
    <m/>
    <m/>
    <x v="0"/>
  </r>
  <r>
    <x v="38"/>
    <s v="GSDTBFOTO_TRASLLATS_BAREM                       "/>
    <n v="160"/>
    <n v="0.15625"/>
    <x v="0"/>
    <s v="AM05"/>
    <s v="No en té"/>
    <m/>
    <m/>
    <x v="0"/>
  </r>
  <r>
    <x v="67"/>
    <s v="GSD_MER_TB_SOL_FORM_PERM_REG                    "/>
    <n v="160"/>
    <n v="0.15625"/>
    <x v="0"/>
    <s v="AM05"/>
    <s v="No en té"/>
    <m/>
    <m/>
    <x v="0"/>
  </r>
  <r>
    <x v="13"/>
    <s v="VADTB_AP_FASE_SOLICITUD                         "/>
    <n v="160"/>
    <n v="0.15625"/>
    <x v="0"/>
    <s v="AM05"/>
    <s v="No en té"/>
    <m/>
    <m/>
    <x v="0"/>
  </r>
  <r>
    <x v="23"/>
    <s v="OFE_OFERTA_CARREGA                              "/>
    <n v="160"/>
    <n v="0.15625"/>
    <x v="0"/>
    <s v="AM10"/>
    <s v="Taula d'aplicació. No aplica"/>
    <m/>
    <m/>
    <x v="0"/>
  </r>
  <r>
    <x v="9"/>
    <s v="DR$RALC_TB_AL_PERSONAL_CTX$I                    "/>
    <n v="160"/>
    <n v="0.15625"/>
    <x v="0"/>
    <s v="AM10"/>
    <m/>
    <s v="No són taules LOG"/>
    <m/>
    <x v="0"/>
  </r>
  <r>
    <x v="48"/>
    <s v="TMETB15PERSONALXESPECIALITAT                    "/>
    <n v="160"/>
    <n v="0.15625"/>
    <x v="0"/>
    <s v="AM10"/>
    <s v="No existeix política d'esborrat. "/>
    <m/>
    <m/>
    <x v="0"/>
  </r>
  <r>
    <x v="19"/>
    <s v="HST_A6P_AVALUACIO_CENTRE                        "/>
    <n v="152"/>
    <n v="0.1484375"/>
    <x v="0"/>
    <s v="AM10"/>
    <m/>
    <s v="No són taules LOG"/>
    <m/>
    <x v="0"/>
  </r>
  <r>
    <x v="40"/>
    <s v="IDATB03_AP_ALU_MATRICULA                        "/>
    <n v="152"/>
    <n v="0.1484375"/>
    <x v="2"/>
    <s v="AM10"/>
    <m/>
    <s v="Creiem que es pot eliminar"/>
    <m/>
    <x v="5"/>
  </r>
  <r>
    <x v="89"/>
    <s v="OFETB_DADES_FORM_PAS                            "/>
    <n v="152"/>
    <n v="0.1484375"/>
    <x v="0"/>
    <s v="AM10"/>
    <m/>
    <m/>
    <m/>
    <x v="0"/>
  </r>
  <r>
    <x v="9"/>
    <s v="RALC_TB_AL_NOTA                                 "/>
    <n v="152"/>
    <n v="0.1484375"/>
    <x v="0"/>
    <s v="AM10"/>
    <m/>
    <s v="No són taules LOG"/>
    <m/>
    <x v="0"/>
  </r>
  <r>
    <x v="3"/>
    <s v="SOLICITUD                                       "/>
    <n v="152"/>
    <n v="0.1484375"/>
    <x v="0"/>
    <s v="AM10"/>
    <s v="Taula d'aplicació. No aplica"/>
    <m/>
    <m/>
    <x v="0"/>
  </r>
  <r>
    <x v="36"/>
    <s v="CDU                                             "/>
    <n v="152"/>
    <n v="0.1484375"/>
    <x v="0"/>
    <s v="AM10"/>
    <s v="Taula d'aplicació. No aplica"/>
    <m/>
    <m/>
    <x v="0"/>
  </r>
  <r>
    <x v="94"/>
    <s v="SITU_INTERVENCIONS_ACTUACIO                     "/>
    <n v="152"/>
    <n v="0.1484375"/>
    <x v="3"/>
    <m/>
    <m/>
    <m/>
    <m/>
    <x v="0"/>
  </r>
  <r>
    <x v="77"/>
    <s v="RESPOSTESDESCRIPTORS                            "/>
    <n v="152"/>
    <n v="0.1484375"/>
    <x v="3"/>
    <m/>
    <m/>
    <m/>
    <m/>
    <x v="0"/>
  </r>
  <r>
    <x v="74"/>
    <s v="BOR_ESTADISTIQUES                               "/>
    <n v="144"/>
    <n v="0.140625"/>
    <x v="2"/>
    <s v="AM05"/>
    <s v="No en té"/>
    <s v="S'esborra tot l'esquema"/>
    <m/>
    <x v="4"/>
  </r>
  <r>
    <x v="67"/>
    <s v="GSD_MER_TB_SOL_EXP_DOC_GEST                     "/>
    <n v="144"/>
    <n v="0.140625"/>
    <x v="0"/>
    <s v="AM05"/>
    <s v="No en té"/>
    <m/>
    <m/>
    <x v="0"/>
  </r>
  <r>
    <x v="67"/>
    <s v="GSD_MER_TB_SOL_EXP_DOC_REG                      "/>
    <n v="144"/>
    <n v="0.140625"/>
    <x v="0"/>
    <s v="AM05"/>
    <s v="No en té"/>
    <m/>
    <m/>
    <x v="0"/>
  </r>
  <r>
    <x v="68"/>
    <s v="AUX_CERTIFDS                                    "/>
    <n v="144"/>
    <n v="0.140625"/>
    <x v="0"/>
    <s v="AM05"/>
    <s v="No en té"/>
    <m/>
    <m/>
    <x v="0"/>
  </r>
  <r>
    <x v="14"/>
    <s v="HST_AVI_ALUMNE                                  "/>
    <n v="144"/>
    <n v="0.140625"/>
    <x v="0"/>
    <s v="AM10"/>
    <m/>
    <s v="No són taules LOG"/>
    <m/>
    <x v="0"/>
  </r>
  <r>
    <x v="95"/>
    <s v="OFETB_LOG                                       "/>
    <n v="144"/>
    <n v="0.140625"/>
    <x v="2"/>
    <s v="AM10"/>
    <m/>
    <s v="S'esborra tot l'esquema"/>
    <m/>
    <x v="4"/>
  </r>
  <r>
    <x v="8"/>
    <s v="OVT_PUBLITB_TP_RESULTATS2                       "/>
    <n v="144"/>
    <n v="0.140625"/>
    <x v="0"/>
    <s v="AM10"/>
    <s v="Taula d'aplicació. No aplica"/>
    <m/>
    <m/>
    <x v="0"/>
  </r>
  <r>
    <x v="36"/>
    <s v="ALUM_GLOBAL_POST                                "/>
    <n v="144"/>
    <n v="0.140625"/>
    <x v="0"/>
    <s v="AM10"/>
    <s v="Taula d'aplicació. No aplica"/>
    <m/>
    <m/>
    <x v="0"/>
  </r>
  <r>
    <x v="96"/>
    <s v="PQPI_TB_AVALUACIO_MODUL                         "/>
    <n v="144"/>
    <n v="0.140625"/>
    <x v="0"/>
    <s v="AM11"/>
    <s v="Cal conservar"/>
    <m/>
    <m/>
    <x v="0"/>
  </r>
  <r>
    <x v="97"/>
    <s v="MBA_SOLLICITUD                                  "/>
    <n v="144"/>
    <n v="0.140625"/>
    <x v="3"/>
    <m/>
    <m/>
    <m/>
    <m/>
    <x v="0"/>
  </r>
  <r>
    <x v="98"/>
    <s v="GSD_ESPE_TB_LOG                                 "/>
    <n v="136"/>
    <n v="0.1328125"/>
    <x v="0"/>
    <s v="AM05"/>
    <s v="No en té"/>
    <m/>
    <m/>
    <x v="0"/>
  </r>
  <r>
    <x v="67"/>
    <s v="GSD_MER_TB_SOL_BAREM_GEST                       "/>
    <n v="136"/>
    <n v="0.1328125"/>
    <x v="0"/>
    <s v="AM05"/>
    <s v="No en té"/>
    <m/>
    <m/>
    <x v="0"/>
  </r>
  <r>
    <x v="68"/>
    <s v="PER_CARREGA                                     "/>
    <n v="136"/>
    <n v="0.1328125"/>
    <x v="0"/>
    <s v="AM05"/>
    <s v="No en té"/>
    <m/>
    <m/>
    <x v="0"/>
  </r>
  <r>
    <x v="87"/>
    <s v="VADTB_AP_DEMANDES_ADJ                           "/>
    <n v="136"/>
    <n v="0.1328125"/>
    <x v="0"/>
    <s v="AM05"/>
    <s v="No en té"/>
    <s v="Taula paral·lel adjudicació, s'eborra abans de cada execució"/>
    <m/>
    <x v="0"/>
  </r>
  <r>
    <x v="50"/>
    <s v="A_EXTRACCIO_NIF                                 "/>
    <n v="136"/>
    <n v="0.1328125"/>
    <x v="0"/>
    <s v="AM05"/>
    <s v="No en té"/>
    <m/>
    <m/>
    <x v="0"/>
  </r>
  <r>
    <x v="40"/>
    <s v="IDATB_TP_ALUMNES_SAGA                           "/>
    <n v="136"/>
    <n v="0.1328125"/>
    <x v="2"/>
    <s v="AM10"/>
    <m/>
    <s v="Creiem que es pot eliminar"/>
    <m/>
    <x v="5"/>
  </r>
  <r>
    <x v="42"/>
    <s v="ZZTMPTB_FITXER_HOST_T_PAS1                      "/>
    <n v="136"/>
    <n v="0.1328125"/>
    <x v="2"/>
    <s v="AM10"/>
    <s v="Taula de backup del procés de migració de RTA"/>
    <m/>
    <m/>
    <x v="2"/>
  </r>
  <r>
    <x v="24"/>
    <s v="EX_V_DMA_AVALUACIO_GLOBAL                       "/>
    <n v="136"/>
    <n v="0.1328125"/>
    <x v="0"/>
    <s v="AM10"/>
    <m/>
    <m/>
    <m/>
    <x v="0"/>
  </r>
  <r>
    <x v="3"/>
    <s v="GEDACPRE_PUBL_OFERTA                            "/>
    <n v="136"/>
    <n v="0.1328125"/>
    <x v="0"/>
    <s v="AM10"/>
    <s v="Taula d'aplicació. No aplica"/>
    <m/>
    <m/>
    <x v="0"/>
  </r>
  <r>
    <x v="74"/>
    <s v="BOR_PREF_COMARQUES                              "/>
    <n v="128"/>
    <n v="0.125"/>
    <x v="2"/>
    <s v="AM05"/>
    <s v="No en té"/>
    <s v="S'esborra tot l'esquema"/>
    <m/>
    <x v="4"/>
  </r>
  <r>
    <x v="79"/>
    <s v="PRA_LOG_CARREGA_DETALL                          "/>
    <n v="128"/>
    <n v="0.125"/>
    <x v="0"/>
    <s v="AM05"/>
    <s v="No en té"/>
    <m/>
    <m/>
    <x v="0"/>
  </r>
  <r>
    <x v="26"/>
    <s v="RLE_TYPEFORM_USUARI                             "/>
    <n v="128"/>
    <n v="0.125"/>
    <x v="0"/>
    <s v="AM05"/>
    <s v="No en té"/>
    <m/>
    <m/>
    <x v="0"/>
  </r>
  <r>
    <x v="26"/>
    <s v="TRAC_TB_VACUNA                                  "/>
    <n v="128"/>
    <n v="0.125"/>
    <x v="0"/>
    <s v="AM05"/>
    <s v="No en té"/>
    <s v="Són aplicació Traçacovid - Es podrien historificar"/>
    <m/>
    <x v="0"/>
  </r>
  <r>
    <x v="55"/>
    <s v="AD_TB_ALUMNE                                    "/>
    <n v="128"/>
    <n v="0.125"/>
    <x v="0"/>
    <s v="AM10"/>
    <m/>
    <m/>
    <m/>
    <x v="0"/>
  </r>
  <r>
    <x v="19"/>
    <s v="HST_A6P_AVALUACIO_CENTRE_ANT                    "/>
    <n v="128"/>
    <n v="0.125"/>
    <x v="0"/>
    <s v="AM10"/>
    <m/>
    <s v="No són taules LOG"/>
    <m/>
    <x v="0"/>
  </r>
  <r>
    <x v="17"/>
    <s v="OLD_HST_AGD_ALUMNE                              "/>
    <n v="128"/>
    <n v="0.125"/>
    <x v="0"/>
    <s v="AM10"/>
    <m/>
    <s v="No són taules LOG"/>
    <m/>
    <x v="0"/>
  </r>
  <r>
    <x v="99"/>
    <s v="GSATBG00_LOG_CARREGUES                          "/>
    <n v="128"/>
    <n v="0.125"/>
    <x v="0"/>
    <s v="AM10"/>
    <s v="No existeix política d'esborrat"/>
    <m/>
    <m/>
    <x v="0"/>
  </r>
  <r>
    <x v="49"/>
    <s v="OTG_LOG                                         "/>
    <n v="128"/>
    <n v="0.125"/>
    <x v="0"/>
    <s v="AM10"/>
    <s v="No existeix política d'esborrat. "/>
    <m/>
    <m/>
    <x v="0"/>
  </r>
  <r>
    <x v="100"/>
    <s v="QOF_RESPOSTES_DETALL                            "/>
    <n v="128"/>
    <n v="0.125"/>
    <x v="0"/>
    <s v="AM10"/>
    <m/>
    <m/>
    <m/>
    <x v="0"/>
  </r>
  <r>
    <x v="9"/>
    <s v="BKP_RALC_TB_AL_TUTOR_ALUMNE                     "/>
    <n v="128"/>
    <n v="0.125"/>
    <x v="2"/>
    <s v="AM10"/>
    <m/>
    <m/>
    <m/>
    <x v="2"/>
  </r>
  <r>
    <x v="101"/>
    <s v="UTILS_TB_LOG                                    "/>
    <n v="128"/>
    <n v="0.125"/>
    <x v="0"/>
    <s v="AM10"/>
    <s v="No existeix política d'esborrat. "/>
    <m/>
    <m/>
    <x v="0"/>
  </r>
  <r>
    <x v="24"/>
    <s v="EX_V_DMA_GRUP_PROFESSOR_EL_MAT                  "/>
    <n v="128"/>
    <n v="0.125"/>
    <x v="0"/>
    <s v="AM10"/>
    <m/>
    <m/>
    <m/>
    <x v="0"/>
  </r>
  <r>
    <x v="24"/>
    <s v="EX_V_DMA_MATRICULA_EINF_EPRI                    "/>
    <n v="128"/>
    <n v="0.125"/>
    <x v="0"/>
    <s v="AM10"/>
    <m/>
    <m/>
    <m/>
    <x v="0"/>
  </r>
  <r>
    <x v="74"/>
    <s v="BOR_ESPECIALITATS_PROFESSOR                     "/>
    <n v="120"/>
    <n v="0.1171875"/>
    <x v="2"/>
    <s v="AM05"/>
    <s v="No en té"/>
    <s v="S'esborra tot l'esquema"/>
    <m/>
    <x v="4"/>
  </r>
  <r>
    <x v="38"/>
    <s v="GSDTB_ALEGACIONS_MERITS                         "/>
    <n v="120"/>
    <n v="0.1171875"/>
    <x v="0"/>
    <s v="AM05"/>
    <s v="No en té"/>
    <m/>
    <m/>
    <x v="0"/>
  </r>
  <r>
    <x v="67"/>
    <s v="GSD_MER_TB_REV_BAREM_TRI                        "/>
    <n v="120"/>
    <n v="0.1171875"/>
    <x v="0"/>
    <s v="AM05"/>
    <s v="No en té"/>
    <m/>
    <m/>
    <x v="0"/>
  </r>
  <r>
    <x v="67"/>
    <s v="GSD_MER_TB_VAL_BAREM_TRI                        "/>
    <n v="120"/>
    <n v="0.1171875"/>
    <x v="0"/>
    <s v="AM05"/>
    <s v="No en té"/>
    <m/>
    <m/>
    <x v="0"/>
  </r>
  <r>
    <x v="32"/>
    <s v="GTO_BAREMS                                      "/>
    <n v="120"/>
    <n v="0.1171875"/>
    <x v="0"/>
    <s v="AM05"/>
    <s v="No en té"/>
    <m/>
    <m/>
    <x v="0"/>
  </r>
  <r>
    <x v="58"/>
    <s v="GP_CANVIS_DE_GIP_A_GP                           "/>
    <n v="120"/>
    <n v="0.1171875"/>
    <x v="0"/>
    <s v="AM05"/>
    <s v="No en té"/>
    <m/>
    <m/>
    <x v="0"/>
  </r>
  <r>
    <x v="68"/>
    <s v="PER_CARREC                                      "/>
    <n v="120"/>
    <n v="0.1171875"/>
    <x v="0"/>
    <s v="AM05"/>
    <s v="No en té"/>
    <m/>
    <m/>
    <x v="0"/>
  </r>
  <r>
    <x v="40"/>
    <s v="IDATB_TP_ALUMNES_CATSALUT                       "/>
    <n v="120"/>
    <n v="0.1171875"/>
    <x v="2"/>
    <s v="AM10"/>
    <m/>
    <s v="Creiem que es pot eliminar"/>
    <m/>
    <x v="5"/>
  </r>
  <r>
    <x v="102"/>
    <s v="MER_RECURS                                      "/>
    <n v="120"/>
    <n v="0.1171875"/>
    <x v="0"/>
    <s v="AM10"/>
    <m/>
    <m/>
    <m/>
    <x v="0"/>
  </r>
  <r>
    <x v="49"/>
    <s v="OTG_MV_DCCT001                                  "/>
    <n v="120"/>
    <n v="0.1171875"/>
    <x v="0"/>
    <s v="AM10"/>
    <s v="Vista materialitzada de dades Host"/>
    <m/>
    <m/>
    <x v="0"/>
  </r>
  <r>
    <x v="72"/>
    <s v="ALUM_GP_DADES_ACAD                              "/>
    <n v="120"/>
    <n v="0.1171875"/>
    <x v="2"/>
    <s v="AM10"/>
    <s v="Es pot esborrar"/>
    <m/>
    <m/>
    <x v="2"/>
  </r>
  <r>
    <x v="3"/>
    <s v="ASSIGNACIO                                      "/>
    <n v="120"/>
    <n v="0.1171875"/>
    <x v="0"/>
    <s v="AM10"/>
    <m/>
    <m/>
    <m/>
    <x v="0"/>
  </r>
  <r>
    <x v="18"/>
    <s v="ADM_EST_QUESTIONARISINSPECCIO                   "/>
    <n v="120"/>
    <n v="0.1171875"/>
    <x v="0"/>
    <s v="AM11"/>
    <s v="Fa anys que no persisteixen dades, es podria netejar"/>
    <s v="Són dades d'estadística "/>
    <m/>
    <x v="0"/>
  </r>
  <r>
    <x v="103"/>
    <s v="BARTB02CARREGA_GIP                              "/>
    <n v="116"/>
    <n v="0.11328125"/>
    <x v="0"/>
    <s v="AM05"/>
    <s v="No en té"/>
    <m/>
    <m/>
    <x v="0"/>
  </r>
  <r>
    <x v="68"/>
    <s v="AUXPER_CERTIFDS                                 "/>
    <n v="116"/>
    <n v="0.11328125"/>
    <x v="0"/>
    <s v="AM05"/>
    <s v="No en té"/>
    <m/>
    <m/>
    <x v="0"/>
  </r>
  <r>
    <x v="41"/>
    <s v="BOR_INCIDENCIA                                  "/>
    <n v="112"/>
    <n v="0.109375"/>
    <x v="0"/>
    <s v="AM05"/>
    <s v="No en té"/>
    <m/>
    <m/>
    <x v="0"/>
  </r>
  <r>
    <x v="67"/>
    <s v="GSD_MER_TB_SOL_BAREM_REG                        "/>
    <n v="112"/>
    <n v="0.109375"/>
    <x v="0"/>
    <s v="AM05"/>
    <s v="No en té"/>
    <m/>
    <m/>
    <x v="0"/>
  </r>
  <r>
    <x v="68"/>
    <s v="PER_CERTIFDS                                    "/>
    <n v="112"/>
    <n v="0.109375"/>
    <x v="0"/>
    <s v="AM05"/>
    <s v="No en té"/>
    <m/>
    <m/>
    <x v="0"/>
  </r>
  <r>
    <x v="87"/>
    <s v="VADTB_AP_REPORT_INTERACTIU                      "/>
    <n v="112"/>
    <n v="0.109375"/>
    <x v="0"/>
    <s v="AM05"/>
    <s v="No en té"/>
    <m/>
    <m/>
    <x v="0"/>
  </r>
  <r>
    <x v="17"/>
    <s v="HST_AGD_ALUMNE_RALC                             "/>
    <n v="112"/>
    <n v="0.109375"/>
    <x v="0"/>
    <s v="AM10"/>
    <m/>
    <s v="No són taules LOG"/>
    <m/>
    <x v="0"/>
  </r>
  <r>
    <x v="104"/>
    <s v="UTILS_TB_LOG                                    "/>
    <n v="112"/>
    <n v="0.109375"/>
    <x v="0"/>
    <s v="AM10"/>
    <s v="No existeix política d'esborrat. "/>
    <m/>
    <m/>
    <x v="0"/>
  </r>
  <r>
    <x v="14"/>
    <s v="HST_AVI_RESULTATS                               "/>
    <n v="112"/>
    <n v="0.109375"/>
    <x v="0"/>
    <s v="AM10"/>
    <m/>
    <s v="No són taules LOG"/>
    <m/>
    <x v="0"/>
  </r>
  <r>
    <x v="49"/>
    <s v="OTG_MV_CDEV0030                                 "/>
    <n v="112"/>
    <n v="0.109375"/>
    <x v="0"/>
    <s v="AM10"/>
    <s v="Vista materialitzada de dades Host"/>
    <m/>
    <m/>
    <x v="0"/>
  </r>
  <r>
    <x v="105"/>
    <s v="SESIONS                                         "/>
    <n v="112"/>
    <n v="0.109375"/>
    <x v="0"/>
    <s v="AM10"/>
    <m/>
    <m/>
    <m/>
    <x v="0"/>
  </r>
  <r>
    <x v="36"/>
    <s v="TB_PERGAM_USUARIS_EDU_20130915                  "/>
    <n v="112"/>
    <n v="0.109375"/>
    <x v="0"/>
    <s v="AM10"/>
    <s v="Taula d'aplicació. No aplica"/>
    <m/>
    <m/>
    <x v="0"/>
  </r>
  <r>
    <x v="59"/>
    <s v="TB_PERGAM_USUARIS_EDU_20130915                  "/>
    <n v="112"/>
    <n v="0.109375"/>
    <x v="2"/>
    <s v="AM10"/>
    <s v="En funció de la decisió de les observacions"/>
    <s v="Cal consultar a l'ATIC si es pot eliminar l'esquema PERGAM2."/>
    <m/>
    <x v="6"/>
  </r>
  <r>
    <x v="68"/>
    <s v="AUXPER_CARREC                                   "/>
    <n v="111"/>
    <n v="0.108398438"/>
    <x v="0"/>
    <s v="AM05"/>
    <s v="No en té"/>
    <m/>
    <m/>
    <x v="0"/>
  </r>
  <r>
    <x v="34"/>
    <s v="FPPR_LOG_MISSATGE                               "/>
    <n v="104"/>
    <n v="0.1015625"/>
    <x v="0"/>
    <s v="AM05"/>
    <s v="No en té"/>
    <m/>
    <m/>
    <x v="0"/>
  </r>
  <r>
    <x v="56"/>
    <s v="PDATB_AP_LOGS                                   "/>
    <n v="104"/>
    <n v="0.1015625"/>
    <x v="0"/>
    <s v="AM05"/>
    <s v="No en té"/>
    <s v="Es poden esborrar periodicament. Proposta esborrar registres de convocatòries no vigents"/>
    <m/>
    <x v="0"/>
  </r>
  <r>
    <x v="51"/>
    <s v="PUBTB_ADJ_CGH                                   "/>
    <n v="104"/>
    <n v="0.1015625"/>
    <x v="0"/>
    <s v="AM05"/>
    <s v="No en té"/>
    <m/>
    <m/>
    <x v="0"/>
  </r>
  <r>
    <x v="73"/>
    <s v="VAGA_TB_TLLCTREPLT                              "/>
    <n v="104"/>
    <n v="0.1015625"/>
    <x v="0"/>
    <s v="AM05"/>
    <s v="No en té"/>
    <m/>
    <m/>
    <x v="0"/>
  </r>
  <r>
    <x v="20"/>
    <s v="UTILS_TB_LOG                                    "/>
    <n v="104"/>
    <n v="0.1015625"/>
    <x v="0"/>
    <s v="AM10"/>
    <s v="No exisiteix política d'esborrat"/>
    <m/>
    <m/>
    <x v="0"/>
  </r>
  <r>
    <x v="39"/>
    <s v="GCONTB_TP_EMAILS                                "/>
    <n v="104"/>
    <n v="0.1015625"/>
    <x v="0"/>
    <s v="AM10"/>
    <s v="No existeix política d'esborrat. "/>
    <m/>
    <m/>
    <x v="0"/>
  </r>
  <r>
    <x v="54"/>
    <s v="HTE_SOLICITUD                                   "/>
    <n v="104"/>
    <n v="0.1015625"/>
    <x v="0"/>
    <s v="AM10"/>
    <s v="No existeix política d'esborrat. "/>
    <m/>
    <m/>
    <x v="0"/>
  </r>
  <r>
    <x v="49"/>
    <s v="OTG_MV_GSDV0280_CONEIXSIP                       "/>
    <n v="104"/>
    <n v="0.1015625"/>
    <x v="0"/>
    <s v="AM10"/>
    <s v="Vista materialitzada de dades Host"/>
    <m/>
    <m/>
    <x v="0"/>
  </r>
  <r>
    <x v="105"/>
    <s v="SOLIC_CRITERIS                                  "/>
    <n v="104"/>
    <n v="0.1015625"/>
    <x v="0"/>
    <s v="AM10"/>
    <m/>
    <m/>
    <m/>
    <x v="0"/>
  </r>
  <r>
    <x v="28"/>
    <s v="POETB33_NOTICIA                                 "/>
    <n v="104"/>
    <n v="0.1015625"/>
    <x v="0"/>
    <s v="AM10"/>
    <m/>
    <m/>
    <m/>
    <x v="0"/>
  </r>
  <r>
    <x v="53"/>
    <s v="IDENTIFICACIONS                                 "/>
    <n v="104"/>
    <n v="0.1015625"/>
    <x v="0"/>
    <s v="AM10"/>
    <s v="Taula d'aplicació. No aplica"/>
    <m/>
    <m/>
    <x v="0"/>
  </r>
  <r>
    <x v="36"/>
    <s v="TB_PERGAM_USUARIS_EDU_365                       "/>
    <n v="104"/>
    <n v="0.1015625"/>
    <x v="0"/>
    <s v="AM10"/>
    <s v="Taula d'aplicació. No aplica"/>
    <m/>
    <m/>
    <x v="0"/>
  </r>
  <r>
    <x v="59"/>
    <s v="TB_PERGAM_USUARIS_EDU_365                       "/>
    <n v="104"/>
    <n v="0.1015625"/>
    <x v="2"/>
    <s v="AM10"/>
    <s v="En funció de la decisió de les observacions"/>
    <s v="Cal consultar a l'ATIC si es pot eliminar l'esquema PERGAM2."/>
    <m/>
    <x v="6"/>
  </r>
  <r>
    <x v="5"/>
    <s v="T_FOR_RESTRICCIO                                "/>
    <n v="98"/>
    <n v="9.5703125E-2"/>
    <x v="0"/>
    <s v="AM05"/>
    <s v="No en té"/>
    <m/>
    <m/>
    <x v="0"/>
  </r>
  <r>
    <x v="72"/>
    <s v="ADV_MOVIMENT_NO_SOLIC                           "/>
    <n v="97"/>
    <n v="9.47265625E-2"/>
    <x v="2"/>
    <s v="AM10"/>
    <s v="Es pot esborrar"/>
    <m/>
    <m/>
    <x v="2"/>
  </r>
  <r>
    <x v="69"/>
    <s v="NOVACO_EXPORTACIO_GIP                           "/>
    <n v="96"/>
    <n v="9.375E-2"/>
    <x v="2"/>
    <s v="AM05"/>
    <s v="No en té"/>
    <s v="S'esborra tot l'esquema"/>
    <m/>
    <x v="4"/>
  </r>
  <r>
    <x v="74"/>
    <s v="BOR_DEBUG_PROCEDURE                             "/>
    <n v="96"/>
    <n v="9.375E-2"/>
    <x v="2"/>
    <s v="AM05"/>
    <s v="No en té"/>
    <s v="S'esborra tot l'esquema"/>
    <m/>
    <x v="4"/>
  </r>
  <r>
    <x v="61"/>
    <s v="GSD_CMD_TB_DOC_FORMACIO                         "/>
    <n v="96"/>
    <n v="9.375E-2"/>
    <x v="0"/>
    <s v="AM05"/>
    <s v="No en té"/>
    <m/>
    <m/>
    <x v="0"/>
  </r>
  <r>
    <x v="95"/>
    <s v="OFETB_DADES_FORM_PAS                            "/>
    <n v="96"/>
    <n v="9.375E-2"/>
    <x v="2"/>
    <s v="AM05"/>
    <s v="No en té"/>
    <s v="S'esborra tot l'esquema"/>
    <m/>
    <x v="4"/>
  </r>
  <r>
    <x v="56"/>
    <s v="PDATB_AP_ESPECIALITAT_DOCENT                    "/>
    <n v="96"/>
    <n v="9.375E-2"/>
    <x v="0"/>
    <s v="AM05"/>
    <s v="No en té"/>
    <m/>
    <m/>
    <x v="0"/>
  </r>
  <r>
    <x v="15"/>
    <s v="PLDTB_AP_CTRS_CARRECS_OCUP                      "/>
    <n v="96"/>
    <n v="9.375E-2"/>
    <x v="0"/>
    <s v="AM05"/>
    <s v="No en té"/>
    <m/>
    <m/>
    <x v="0"/>
  </r>
  <r>
    <x v="26"/>
    <s v="TRAC_TB_CARREGA_VACUNA_TEMP                     "/>
    <n v="96"/>
    <n v="9.375E-2"/>
    <x v="0"/>
    <s v="AM05"/>
    <s v="No en té"/>
    <s v="Són aplicació Traçacovid - Es podrien historificar"/>
    <m/>
    <x v="0"/>
  </r>
  <r>
    <x v="73"/>
    <s v="PROFESSORS                                      "/>
    <n v="96"/>
    <n v="9.375E-2"/>
    <x v="0"/>
    <s v="AM05"/>
    <s v="No en té"/>
    <s v="Vaga antiga. Es pot esborrar"/>
    <m/>
    <x v="0"/>
  </r>
  <r>
    <x v="106"/>
    <s v="ANUAL_P1_30_ALUMNES_NEE                         "/>
    <n v="96"/>
    <n v="9.375E-2"/>
    <x v="0"/>
    <s v="AM05"/>
    <s v="No en té"/>
    <m/>
    <m/>
    <x v="0"/>
  </r>
  <r>
    <x v="16"/>
    <s v="BKBAE_DMA_MATRICULA_FP                          "/>
    <n v="96"/>
    <n v="9.375E-2"/>
    <x v="2"/>
    <s v="AM10"/>
    <s v="Taula de backup sol·licitada en un AGIN ja resolt"/>
    <m/>
    <m/>
    <x v="2"/>
  </r>
  <r>
    <x v="107"/>
    <s v="BAG_FAMILIARS                                   "/>
    <n v="96"/>
    <n v="9.375E-2"/>
    <x v="0"/>
    <s v="AM10"/>
    <s v="Taula d'aplicació. No aplica"/>
    <m/>
    <m/>
    <x v="0"/>
  </r>
  <r>
    <x v="108"/>
    <s v="GSATBR41_CSV_TMP_UPLOAD                         "/>
    <n v="96"/>
    <n v="9.375E-2"/>
    <x v="0"/>
    <s v="AM10"/>
    <s v="No existeix política d'esborrat. "/>
    <m/>
    <m/>
    <x v="0"/>
  </r>
  <r>
    <x v="24"/>
    <s v="EX_V_DMA_GRUP_ELEM_MAT                          "/>
    <n v="96"/>
    <n v="9.375E-2"/>
    <x v="0"/>
    <s v="AM10"/>
    <m/>
    <m/>
    <m/>
    <x v="0"/>
  </r>
  <r>
    <x v="3"/>
    <s v="PETICIOXSOLICITUD                               "/>
    <n v="96"/>
    <n v="9.375E-2"/>
    <x v="0"/>
    <s v="AM10"/>
    <s v="Taula d'aplicació. No aplica"/>
    <m/>
    <m/>
    <x v="0"/>
  </r>
  <r>
    <x v="2"/>
    <s v="IDI_TB_CARREGA_ALIES                            "/>
    <n v="96"/>
    <n v="9.375E-2"/>
    <x v="0"/>
    <s v="AM10"/>
    <m/>
    <m/>
    <m/>
    <x v="0"/>
  </r>
  <r>
    <x v="109"/>
    <s v="UTILS_TB_LOG                                    "/>
    <n v="96"/>
    <n v="9.375E-2"/>
    <x v="0"/>
    <s v="AM10"/>
    <s v="No existeix política d'esborrat. "/>
    <m/>
    <m/>
    <x v="0"/>
  </r>
  <r>
    <x v="18"/>
    <s v="BO_DPT_CARRECPERSONAL                           "/>
    <n v="96"/>
    <n v="9.375E-2"/>
    <x v="0"/>
    <s v="AM11"/>
    <s v="Cal conservar"/>
    <m/>
    <m/>
    <x v="0"/>
  </r>
  <r>
    <x v="92"/>
    <s v="IP_LOG                                          "/>
    <n v="96"/>
    <n v="9.375E-2"/>
    <x v="0"/>
    <s v="AM15"/>
    <s v="Cal conservar"/>
    <m/>
    <m/>
    <x v="0"/>
  </r>
  <r>
    <x v="110"/>
    <s v="T_FORMU_RESULTATS                               "/>
    <n v="96"/>
    <n v="9.375E-2"/>
    <x v="3"/>
    <m/>
    <m/>
    <m/>
    <m/>
    <x v="0"/>
  </r>
  <r>
    <x v="68"/>
    <s v="PER_PERSONES                                    "/>
    <n v="94"/>
    <n v="9.1796875E-2"/>
    <x v="0"/>
    <s v="AM05"/>
    <s v="No en té"/>
    <m/>
    <m/>
    <x v="0"/>
  </r>
  <r>
    <x v="13"/>
    <s v="VADTB_AP_PETICIONS_ADJ                          "/>
    <n v="89"/>
    <n v="8.6914063E-2"/>
    <x v="0"/>
    <s v="AM05"/>
    <s v="No en té"/>
    <s v="Taula paral·lel adjudicació, s'eborra abans de cada execució"/>
    <m/>
    <x v="0"/>
  </r>
  <r>
    <x v="74"/>
    <s v="BOR_PROFESSORS                                  "/>
    <n v="88"/>
    <n v="8.59375E-2"/>
    <x v="2"/>
    <s v="AM05"/>
    <s v="No en té"/>
    <s v="S'esborra tot l'esquema"/>
    <m/>
    <x v="4"/>
  </r>
  <r>
    <x v="74"/>
    <s v="EXPORTACIO_WEB_GIP                              "/>
    <n v="88"/>
    <n v="8.59375E-2"/>
    <x v="2"/>
    <s v="AM05"/>
    <s v="No en té"/>
    <s v="S'esborra tot l'esquema"/>
    <m/>
    <x v="4"/>
  </r>
  <r>
    <x v="74"/>
    <s v="NOVACO_EXPORTACIO_GIP                           "/>
    <n v="88"/>
    <n v="8.59375E-2"/>
    <x v="2"/>
    <s v="AM05"/>
    <s v="No en té"/>
    <s v="S'esborra tot l'esquema"/>
    <m/>
    <x v="4"/>
  </r>
  <r>
    <x v="46"/>
    <s v="GSD_OPO_TB_SOL_GEST                             "/>
    <n v="88"/>
    <n v="8.59375E-2"/>
    <x v="0"/>
    <s v="AM05"/>
    <s v="No en té"/>
    <m/>
    <m/>
    <x v="0"/>
  </r>
  <r>
    <x v="68"/>
    <s v="AUXPER_PERSONES                                 "/>
    <n v="88"/>
    <n v="8.59375E-2"/>
    <x v="0"/>
    <s v="AM05"/>
    <s v="No en té"/>
    <m/>
    <m/>
    <x v="0"/>
  </r>
  <r>
    <x v="106"/>
    <s v="ANUAL_P1_24_PROFES                              "/>
    <n v="88"/>
    <n v="8.59375E-2"/>
    <x v="0"/>
    <s v="AM05"/>
    <s v="No en té"/>
    <m/>
    <m/>
    <x v="0"/>
  </r>
  <r>
    <x v="99"/>
    <s v="GSATBG28_AVALUACIO_LOE                          "/>
    <n v="88"/>
    <n v="8.59375E-2"/>
    <x v="0"/>
    <s v="AM10"/>
    <s v="Taula d'aplicació. No aplica"/>
    <m/>
    <m/>
    <x v="0"/>
  </r>
  <r>
    <x v="99"/>
    <s v="GSATBG28_AVALUACIO_LOE_060524                   "/>
    <n v="88"/>
    <n v="8.59375E-2"/>
    <x v="2"/>
    <s v="AM10"/>
    <s v="Taula de backup sol·licituda en un AGIN ja resolt"/>
    <m/>
    <m/>
    <x v="2"/>
  </r>
  <r>
    <x v="99"/>
    <s v="GSATBG28_AVALUACIO_LOE_251024                   "/>
    <n v="88"/>
    <n v="8.59375E-2"/>
    <x v="2"/>
    <s v="AM10"/>
    <s v="Taula de backup sol·licituda en un AGIN ja resolt"/>
    <m/>
    <m/>
    <x v="2"/>
  </r>
  <r>
    <x v="111"/>
    <s v="GSATBG00_LOG_CARREGUES                          "/>
    <n v="88"/>
    <n v="8.59375E-2"/>
    <x v="0"/>
    <s v="AM10"/>
    <s v="No existeix política d'esborrat. "/>
    <m/>
    <m/>
    <x v="0"/>
  </r>
  <r>
    <x v="14"/>
    <s v="HST_AD_RESULTAT                                 "/>
    <n v="88"/>
    <n v="8.59375E-2"/>
    <x v="0"/>
    <s v="AM10"/>
    <m/>
    <s v="No són taules LOG"/>
    <m/>
    <x v="0"/>
  </r>
  <r>
    <x v="8"/>
    <s v="OVT_PUBLITB_ITP_SOLICIT_190618                  "/>
    <n v="88"/>
    <n v="8.59375E-2"/>
    <x v="2"/>
    <s v="AM10"/>
    <s v="Taula de backup antiga"/>
    <m/>
    <m/>
    <x v="2"/>
  </r>
  <r>
    <x v="20"/>
    <s v="HST_A4S_AVALUACIO_CENTRE                        "/>
    <n v="84"/>
    <n v="8.203125E-2"/>
    <x v="0"/>
    <s v="AM10"/>
    <m/>
    <s v="No són taules LOG"/>
    <m/>
    <x v="0"/>
  </r>
  <r>
    <x v="4"/>
    <s v="T_USUARIS_XTEC                                  "/>
    <n v="82"/>
    <n v="8.0078125E-2"/>
    <x v="0"/>
    <s v="AM10"/>
    <m/>
    <m/>
    <m/>
    <x v="0"/>
  </r>
  <r>
    <x v="112"/>
    <s v="HST_AGAI_CERTIFICATS                            "/>
    <n v="80"/>
    <n v="7.8125E-2"/>
    <x v="0"/>
    <s v="AM05"/>
    <s v="No en té"/>
    <m/>
    <m/>
    <x v="0"/>
  </r>
  <r>
    <x v="103"/>
    <s v="BARTB922CARRECS                                 "/>
    <n v="80"/>
    <n v="7.8125E-2"/>
    <x v="0"/>
    <s v="AM05"/>
    <s v="No en té"/>
    <m/>
    <m/>
    <x v="0"/>
  </r>
  <r>
    <x v="41"/>
    <s v="BOR_CENTRES_ESPECIALS                           "/>
    <n v="80"/>
    <n v="7.8125E-2"/>
    <x v="0"/>
    <s v="AM05"/>
    <s v="No en té"/>
    <m/>
    <m/>
    <x v="0"/>
  </r>
  <r>
    <x v="41"/>
    <s v="BOR_PREF_ST                                     "/>
    <n v="80"/>
    <n v="7.8125E-2"/>
    <x v="0"/>
    <s v="AM05"/>
    <s v="No en té"/>
    <m/>
    <m/>
    <x v="0"/>
  </r>
  <r>
    <x v="33"/>
    <s v="BORPASTB_AP_CANDIDATS                           "/>
    <n v="80"/>
    <n v="7.8125E-2"/>
    <x v="0"/>
    <s v="AM05"/>
    <s v="No en té"/>
    <m/>
    <m/>
    <x v="0"/>
  </r>
  <r>
    <x v="38"/>
    <s v="GSDTBBLOC001                                    "/>
    <n v="80"/>
    <n v="7.8125E-2"/>
    <x v="0"/>
    <s v="AM05"/>
    <s v="No en té"/>
    <m/>
    <m/>
    <x v="0"/>
  </r>
  <r>
    <x v="113"/>
    <s v="LLITB_07_CARREGA_GIP_BAREMS                     "/>
    <n v="80"/>
    <n v="7.8125E-2"/>
    <x v="0"/>
    <s v="AM05"/>
    <s v="No en té"/>
    <m/>
    <m/>
    <x v="0"/>
  </r>
  <r>
    <x v="56"/>
    <s v="PDATB_AP_PROPOSTES_HIST                         "/>
    <n v="80"/>
    <n v="7.8125E-2"/>
    <x v="0"/>
    <s v="AM05"/>
    <s v="No en té"/>
    <m/>
    <m/>
    <x v="0"/>
  </r>
  <r>
    <x v="35"/>
    <s v="AO_DESCRIPTORSINSTRUMENTS                       "/>
    <n v="80"/>
    <n v="7.8125E-2"/>
    <x v="0"/>
    <s v="AM05"/>
    <s v="No en té"/>
    <m/>
    <m/>
    <x v="0"/>
  </r>
  <r>
    <x v="13"/>
    <s v="VADTB_CA_P_PETICIONS                            "/>
    <n v="80"/>
    <n v="7.8125E-2"/>
    <x v="0"/>
    <s v="AM05"/>
    <s v="No en té"/>
    <s v="Taula paral·lel adjudicació, s'eborra abans de cada execució"/>
    <m/>
    <x v="0"/>
  </r>
  <r>
    <x v="13"/>
    <s v="VADTB_CA_PETICIONS                              "/>
    <n v="80"/>
    <n v="7.8125E-2"/>
    <x v="0"/>
    <s v="AM05"/>
    <s v="No en té"/>
    <m/>
    <m/>
    <x v="0"/>
  </r>
  <r>
    <x v="114"/>
    <s v="ITEM                                            "/>
    <n v="80"/>
    <n v="7.8125E-2"/>
    <x v="0"/>
    <s v="AM07"/>
    <s v="Cal conservar"/>
    <m/>
    <m/>
    <x v="0"/>
  </r>
  <r>
    <x v="107"/>
    <s v="BAG_SOLICITUDS                                  "/>
    <n v="80"/>
    <n v="7.8125E-2"/>
    <x v="0"/>
    <s v="AM10"/>
    <s v="Taula d'aplicació. No aplica"/>
    <m/>
    <m/>
    <x v="0"/>
  </r>
  <r>
    <x v="43"/>
    <s v="GSATBI19CONV_SOL_CGS                            "/>
    <n v="80"/>
    <n v="7.8125E-2"/>
    <x v="0"/>
    <s v="AM10"/>
    <s v="Taula d'aplicació. No aplica"/>
    <m/>
    <m/>
    <x v="0"/>
  </r>
  <r>
    <x v="49"/>
    <s v="OTG_MV_GSDV0250_VINCSIP                         "/>
    <n v="80"/>
    <n v="7.8125E-2"/>
    <x v="0"/>
    <s v="AM10"/>
    <s v="Vista materialitzada de dades Host"/>
    <m/>
    <m/>
    <x v="0"/>
  </r>
  <r>
    <x v="8"/>
    <s v="OVT_PUBLITB_ITP_SOLIC_20180427                  "/>
    <n v="80"/>
    <n v="7.8125E-2"/>
    <x v="2"/>
    <s v="AM10"/>
    <s v="Taula de backup antiga"/>
    <m/>
    <m/>
    <x v="2"/>
  </r>
  <r>
    <x v="72"/>
    <s v="ALUM_GLOBAL_POST_BAIXA                          "/>
    <n v="80"/>
    <n v="7.8125E-2"/>
    <x v="2"/>
    <s v="AM10"/>
    <s v="Es pot esborrar"/>
    <m/>
    <m/>
    <x v="2"/>
  </r>
  <r>
    <x v="84"/>
    <s v="PDC_TB_OBJECTIUS                                "/>
    <n v="80"/>
    <n v="7.8125E-2"/>
    <x v="0"/>
    <s v="AM10"/>
    <s v="No existeix política d'esborrat. "/>
    <m/>
    <m/>
    <x v="0"/>
  </r>
  <r>
    <x v="31"/>
    <s v="SIITB_SG_AVAL                                   "/>
    <n v="80"/>
    <n v="7.8125E-2"/>
    <x v="0"/>
    <s v="AM10"/>
    <m/>
    <m/>
    <m/>
    <x v="0"/>
  </r>
  <r>
    <x v="31"/>
    <s v="SIITB_SG_TUTOR                                  "/>
    <n v="80"/>
    <n v="7.8125E-2"/>
    <x v="0"/>
    <s v="AM10"/>
    <m/>
    <m/>
    <m/>
    <x v="0"/>
  </r>
  <r>
    <x v="3"/>
    <s v="OFERTA_CENTRE                                   "/>
    <n v="80"/>
    <n v="7.8125E-2"/>
    <x v="0"/>
    <s v="AM10"/>
    <s v="Taula d'aplicació. No aplica"/>
    <m/>
    <m/>
    <x v="0"/>
  </r>
  <r>
    <x v="36"/>
    <s v="ALUM_GP_DADES_ACAD                              "/>
    <n v="80"/>
    <n v="7.8125E-2"/>
    <x v="0"/>
    <s v="AM10"/>
    <s v="Taula d'aplicació. No aplica"/>
    <m/>
    <m/>
    <x v="0"/>
  </r>
  <r>
    <x v="36"/>
    <s v="NIVELL_LLIBRE                                   "/>
    <n v="80"/>
    <n v="7.8125E-2"/>
    <x v="0"/>
    <s v="AM10"/>
    <s v="Taula d'aplicació. No aplica"/>
    <m/>
    <m/>
    <x v="0"/>
  </r>
  <r>
    <x v="59"/>
    <s v="AUT_LLIBRE                                      "/>
    <n v="80"/>
    <n v="7.8125E-2"/>
    <x v="2"/>
    <s v="AM10"/>
    <s v="En funció de la decisió de les observacions"/>
    <s v="Cal consultar a l'ATIC si es pot eliminar l'esquema PERGAM2."/>
    <m/>
    <x v="6"/>
  </r>
  <r>
    <x v="59"/>
    <s v="EXEMPLAR                                        "/>
    <n v="80"/>
    <n v="7.8125E-2"/>
    <x v="2"/>
    <s v="AM10"/>
    <s v="En funció de la decisió de les observacions"/>
    <s v="Cal consultar a l'ATIC si es pot eliminar l'esquema PERGAM2."/>
    <m/>
    <x v="6"/>
  </r>
  <r>
    <x v="115"/>
    <s v="CHANGEITEM                                      "/>
    <n v="80"/>
    <n v="7.8125E-2"/>
    <x v="3"/>
    <m/>
    <m/>
    <m/>
    <m/>
    <x v="0"/>
  </r>
  <r>
    <x v="102"/>
    <s v="MER_REC_LANG                                    "/>
    <n v="80"/>
    <n v="7.8125E-2"/>
    <x v="0"/>
    <s v="AM10"/>
    <s v="No en té"/>
    <m/>
    <m/>
    <x v="0"/>
  </r>
  <r>
    <x v="116"/>
    <s v="WWV_FLOW_FILE_OBJECTS$                          "/>
    <n v="80"/>
    <n v="7.8125E-2"/>
    <x v="3"/>
    <m/>
    <m/>
    <m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">
  <r>
    <x v="0"/>
    <n v="6917.81"/>
    <n v="6.76"/>
    <x v="0"/>
    <s v="AM10"/>
    <m/>
    <m/>
    <x v="0"/>
  </r>
  <r>
    <x v="1"/>
    <n v="6940.75"/>
    <n v="6.78"/>
    <x v="0"/>
    <s v="AM10"/>
    <m/>
    <m/>
    <x v="0"/>
  </r>
  <r>
    <x v="2"/>
    <n v="955.44"/>
    <n v="0.93"/>
    <x v="0"/>
    <s v="AM10"/>
    <m/>
    <m/>
    <x v="0"/>
  </r>
  <r>
    <x v="3"/>
    <n v="84433.38"/>
    <n v="82.45"/>
    <x v="0"/>
    <s v="AM10"/>
    <m/>
    <m/>
    <x v="0"/>
  </r>
  <r>
    <x v="4"/>
    <n v="15.19"/>
    <n v="0.01"/>
    <x v="1"/>
    <m/>
    <m/>
    <m/>
    <x v="0"/>
  </r>
  <r>
    <x v="5"/>
    <n v="0.81"/>
    <n v="0"/>
    <x v="0"/>
    <s v="AM10"/>
    <m/>
    <m/>
    <x v="0"/>
  </r>
  <r>
    <x v="6"/>
    <n v="13.06"/>
    <n v="0.01"/>
    <x v="2"/>
    <s v="AM10"/>
    <m/>
    <m/>
    <x v="0"/>
  </r>
  <r>
    <x v="7"/>
    <n v="8376.19"/>
    <n v="8.18"/>
    <x v="1"/>
    <m/>
    <m/>
    <m/>
    <x v="0"/>
  </r>
  <r>
    <x v="8"/>
    <n v="0.63"/>
    <n v="0"/>
    <x v="1"/>
    <s v="AM10"/>
    <m/>
    <m/>
    <x v="0"/>
  </r>
  <r>
    <x v="9"/>
    <n v="0.56000000000000005"/>
    <n v="0"/>
    <x v="1"/>
    <m/>
    <m/>
    <m/>
    <x v="0"/>
  </r>
  <r>
    <x v="10"/>
    <n v="155463.63"/>
    <n v="151.82"/>
    <x v="1"/>
    <m/>
    <m/>
    <m/>
    <x v="0"/>
  </r>
  <r>
    <x v="11"/>
    <n v="609.94000000000005"/>
    <n v="0.6"/>
    <x v="0"/>
    <s v="AM10"/>
    <m/>
    <s v="AVA"/>
    <x v="1"/>
  </r>
  <r>
    <x v="12"/>
    <n v="217.38"/>
    <n v="0.21"/>
    <x v="0"/>
    <s v="AM11"/>
    <s v="Esquema que s'utilitza per connectar a DMA's, beques i per accés a dades del RALC d'ESFERA"/>
    <m/>
    <x v="0"/>
  </r>
  <r>
    <x v="13"/>
    <n v="4.3099999999999996"/>
    <n v="0"/>
    <x v="1"/>
    <m/>
    <m/>
    <m/>
    <x v="0"/>
  </r>
  <r>
    <x v="14"/>
    <n v="152.88"/>
    <n v="0.15"/>
    <x v="0"/>
    <s v="AM10"/>
    <m/>
    <m/>
    <x v="0"/>
  </r>
  <r>
    <x v="15"/>
    <n v="0.38"/>
    <n v="0"/>
    <x v="1"/>
    <m/>
    <m/>
    <m/>
    <x v="0"/>
  </r>
  <r>
    <x v="16"/>
    <n v="0.13"/>
    <n v="0"/>
    <x v="1"/>
    <m/>
    <m/>
    <m/>
    <x v="0"/>
  </r>
  <r>
    <x v="17"/>
    <n v="13.56"/>
    <n v="0.01"/>
    <x v="1"/>
    <m/>
    <m/>
    <m/>
    <x v="0"/>
  </r>
  <r>
    <x v="18"/>
    <n v="24148.880000000001"/>
    <n v="23.58"/>
    <x v="0"/>
    <s v="AM10"/>
    <m/>
    <m/>
    <x v="0"/>
  </r>
  <r>
    <x v="19"/>
    <n v="25327.19"/>
    <n v="24.73"/>
    <x v="0"/>
    <s v="AM10"/>
    <m/>
    <m/>
    <x v="0"/>
  </r>
  <r>
    <x v="20"/>
    <n v="31432.25"/>
    <n v="30.7"/>
    <x v="0"/>
    <s v="AM10"/>
    <m/>
    <m/>
    <x v="0"/>
  </r>
  <r>
    <x v="21"/>
    <n v="115.38"/>
    <n v="0.11"/>
    <x v="0"/>
    <s v="AM10"/>
    <m/>
    <m/>
    <x v="0"/>
  </r>
  <r>
    <x v="22"/>
    <n v="74.5"/>
    <n v="7.0000000000000007E-2"/>
    <x v="3"/>
    <s v="AM05"/>
    <s v="Es podria historificar i treure d'E13BD, aplicació tancada i obsoleta"/>
    <s v="ADPD"/>
    <x v="2"/>
  </r>
  <r>
    <x v="23"/>
    <n v="22.31"/>
    <n v="0.02"/>
    <x v="1"/>
    <s v="AM05"/>
    <s v="DMM: Es troba de baixa a l'inventari d'app"/>
    <s v="AFD"/>
    <x v="2"/>
  </r>
  <r>
    <x v="24"/>
    <n v="260"/>
    <n v="0.25"/>
    <x v="0"/>
    <s v="AM05"/>
    <m/>
    <m/>
    <x v="0"/>
  </r>
  <r>
    <x v="25"/>
    <n v="53188.63"/>
    <n v="51.94"/>
    <x v="0"/>
    <s v="AM10"/>
    <m/>
    <m/>
    <x v="0"/>
  </r>
  <r>
    <x v="26"/>
    <n v="112386.25"/>
    <n v="109.75"/>
    <x v="0"/>
    <s v="AM15"/>
    <m/>
    <m/>
    <x v="0"/>
  </r>
  <r>
    <x v="27"/>
    <n v="4.1900000000000004"/>
    <n v="0"/>
    <x v="3"/>
    <s v="AM05"/>
    <s v="Es podria historificar i treure d'E13BD, aplicació tancada i obsoleta"/>
    <s v="GSD_AJUTS"/>
    <x v="2"/>
  </r>
  <r>
    <x v="28"/>
    <n v="0.94"/>
    <n v="0"/>
    <x v="1"/>
    <m/>
    <m/>
    <m/>
    <x v="0"/>
  </r>
  <r>
    <x v="29"/>
    <n v="1087.19"/>
    <n v="1.06"/>
    <x v="1"/>
    <s v="AM11"/>
    <s v="DMM: Es troba de baixa a l'inventari d'app"/>
    <s v="APBLOE"/>
    <x v="3"/>
  </r>
  <r>
    <x v="30"/>
    <n v="44"/>
    <n v="0.04"/>
    <x v="1"/>
    <m/>
    <m/>
    <m/>
    <x v="0"/>
  </r>
  <r>
    <x v="31"/>
    <n v="415.06"/>
    <n v="0.41"/>
    <x v="0"/>
    <s v="AM05"/>
    <m/>
    <m/>
    <x v="0"/>
  </r>
  <r>
    <x v="32"/>
    <n v="38.06"/>
    <n v="0.04"/>
    <x v="3"/>
    <s v="AM05"/>
    <s v="Són unes campanyes antigues, es podrien historificar  i treure d'E13BD"/>
    <m/>
    <x v="0"/>
  </r>
  <r>
    <x v="33"/>
    <n v="28.31"/>
    <n v="0.03"/>
    <x v="3"/>
    <s v="AM05"/>
    <s v="Són unes campanyes antigues, es podrien historificar"/>
    <m/>
    <x v="0"/>
  </r>
  <r>
    <x v="34"/>
    <n v="23"/>
    <n v="0.02"/>
    <x v="3"/>
    <s v="AM05"/>
    <s v="Són unes campanyes antigues, es podrien historificar"/>
    <m/>
    <x v="0"/>
  </r>
  <r>
    <x v="35"/>
    <n v="242.69"/>
    <n v="0.24"/>
    <x v="0"/>
    <s v="AM_10"/>
    <s v="No es pot borrar"/>
    <m/>
    <x v="0"/>
  </r>
  <r>
    <x v="36"/>
    <n v="18.940000000000001"/>
    <n v="0.02"/>
    <x v="3"/>
    <s v="AM05"/>
    <s v="Es podria historificar i treure d'E13BD, aplicació tancada i obsoleta"/>
    <s v="ASD"/>
    <x v="2"/>
  </r>
  <r>
    <x v="37"/>
    <n v="1.5"/>
    <n v="0"/>
    <x v="3"/>
    <s v="AM05"/>
    <s v="Es podria historificar i treure d'E13BD, aplicació tancada i obsoleta"/>
    <s v="ASD_PUBLI"/>
    <x v="2"/>
  </r>
  <r>
    <x v="38"/>
    <n v="118.19"/>
    <n v="0.12"/>
    <x v="1"/>
    <m/>
    <m/>
    <m/>
    <x v="0"/>
  </r>
  <r>
    <x v="39"/>
    <n v="2.31"/>
    <n v="0"/>
    <x v="2"/>
    <s v="AM10"/>
    <s v="Cal confirmar amb gestor si es pot esborrar o cal historificar"/>
    <s v="AUP"/>
    <x v="1"/>
  </r>
  <r>
    <x v="40"/>
    <n v="824146"/>
    <n v="804.83"/>
    <x v="0"/>
    <s v="AM10"/>
    <m/>
    <m/>
    <x v="0"/>
  </r>
  <r>
    <x v="41"/>
    <n v="69714.5"/>
    <n v="68.08"/>
    <x v="0"/>
    <s v="AM10"/>
    <m/>
    <m/>
    <x v="0"/>
  </r>
  <r>
    <x v="42"/>
    <n v="290.31"/>
    <n v="0.28000000000000003"/>
    <x v="2"/>
    <s v="AM10"/>
    <s v="Pendent decisió ATIC"/>
    <s v="BAG "/>
    <x v="1"/>
  </r>
  <r>
    <x v="43"/>
    <n v="5352.25"/>
    <n v="5.23"/>
    <x v="0"/>
    <s v="AM10"/>
    <m/>
    <m/>
    <x v="0"/>
  </r>
  <r>
    <x v="44"/>
    <n v="564.44000000000005"/>
    <n v="0.55000000000000004"/>
    <x v="3"/>
    <s v="AM05"/>
    <s v="Hi ha la part de la convocatòria de catedràtics que es podria historificar. Caldria consensuar-ho amb els usuaris."/>
    <s v="BAR "/>
    <x v="2"/>
  </r>
  <r>
    <x v="45"/>
    <n v="0.94"/>
    <n v="0"/>
    <x v="1"/>
    <m/>
    <m/>
    <m/>
    <x v="0"/>
  </r>
  <r>
    <x v="46"/>
    <n v="207897.4"/>
    <n v="203.02"/>
    <x v="0"/>
    <s v="AM05"/>
    <m/>
    <m/>
    <x v="0"/>
  </r>
  <r>
    <x v="47"/>
    <n v="7716.25"/>
    <n v="7.54"/>
    <x v="2"/>
    <s v="AM05"/>
    <m/>
    <s v="BOR"/>
    <x v="2"/>
  </r>
  <r>
    <x v="48"/>
    <n v="3623.75"/>
    <n v="3.54"/>
    <x v="2"/>
    <s v="AM05"/>
    <m/>
    <s v="BOR"/>
    <x v="2"/>
  </r>
  <r>
    <x v="49"/>
    <n v="11300"/>
    <n v="11.04"/>
    <x v="0"/>
    <s v="AM05"/>
    <m/>
    <m/>
    <x v="0"/>
  </r>
  <r>
    <x v="50"/>
    <n v="858.63"/>
    <n v="0.84"/>
    <x v="0"/>
    <s v="AM10"/>
    <m/>
    <m/>
    <x v="0"/>
  </r>
  <r>
    <x v="51"/>
    <n v="0.25"/>
    <n v="0"/>
    <x v="0"/>
    <s v="AM10"/>
    <m/>
    <m/>
    <x v="0"/>
  </r>
  <r>
    <x v="52"/>
    <n v="399"/>
    <n v="0.39"/>
    <x v="0"/>
    <s v="AM10"/>
    <m/>
    <m/>
    <x v="0"/>
  </r>
  <r>
    <x v="53"/>
    <n v="345.81"/>
    <n v="0.34"/>
    <x v="2"/>
    <s v="AM15"/>
    <s v="Es donarà de baixa"/>
    <m/>
    <x v="0"/>
  </r>
  <r>
    <x v="54"/>
    <n v="5479.81"/>
    <n v="5.35"/>
    <x v="2"/>
    <s v="AM07"/>
    <m/>
    <s v="CATPROF"/>
    <x v="4"/>
  </r>
  <r>
    <x v="55"/>
    <n v="64.25"/>
    <n v="0.06"/>
    <x v="1"/>
    <m/>
    <m/>
    <m/>
    <x v="0"/>
  </r>
  <r>
    <x v="56"/>
    <n v="1.69"/>
    <n v="0"/>
    <x v="1"/>
    <m/>
    <m/>
    <m/>
    <x v="0"/>
  </r>
  <r>
    <x v="57"/>
    <n v="377.06"/>
    <n v="0.37"/>
    <x v="0"/>
    <s v="AM10"/>
    <m/>
    <m/>
    <x v="0"/>
  </r>
  <r>
    <x v="58"/>
    <n v="10"/>
    <n v="0.01"/>
    <x v="0"/>
    <s v="AM05"/>
    <m/>
    <m/>
    <x v="0"/>
  </r>
  <r>
    <x v="59"/>
    <n v="1.1299999999999999"/>
    <n v="0"/>
    <x v="1"/>
    <s v="AM07"/>
    <m/>
    <s v="CMF"/>
    <x v="5"/>
  </r>
  <r>
    <x v="60"/>
    <n v="4.25"/>
    <n v="0"/>
    <x v="1"/>
    <m/>
    <m/>
    <m/>
    <x v="0"/>
  </r>
  <r>
    <x v="61"/>
    <n v="24.25"/>
    <n v="0.02"/>
    <x v="1"/>
    <m/>
    <m/>
    <m/>
    <x v="0"/>
  </r>
  <r>
    <x v="62"/>
    <n v="5.88"/>
    <n v="0.01"/>
    <x v="1"/>
    <m/>
    <m/>
    <m/>
    <x v="0"/>
  </r>
  <r>
    <x v="63"/>
    <n v="600.75"/>
    <n v="0.59"/>
    <x v="1"/>
    <m/>
    <m/>
    <m/>
    <x v="0"/>
  </r>
  <r>
    <x v="64"/>
    <n v="2.13"/>
    <n v="0"/>
    <x v="0"/>
    <s v="AM10"/>
    <m/>
    <m/>
    <x v="0"/>
  </r>
  <r>
    <x v="65"/>
    <n v="432.56"/>
    <n v="0.42"/>
    <x v="0"/>
    <s v="AM10"/>
    <m/>
    <m/>
    <x v="0"/>
  </r>
  <r>
    <x v="66"/>
    <n v="2014389.06"/>
    <n v="1967.18"/>
    <x v="0"/>
    <s v="AM10"/>
    <m/>
    <m/>
    <x v="0"/>
  </r>
  <r>
    <x v="67"/>
    <n v="35"/>
    <n v="0.03"/>
    <x v="1"/>
    <m/>
    <m/>
    <m/>
    <x v="0"/>
  </r>
  <r>
    <x v="68"/>
    <n v="0.19"/>
    <n v="0"/>
    <x v="1"/>
    <m/>
    <m/>
    <m/>
    <x v="0"/>
  </r>
  <r>
    <x v="69"/>
    <n v="770.94"/>
    <n v="0.75"/>
    <x v="0"/>
    <s v="AM05"/>
    <m/>
    <m/>
    <x v="0"/>
  </r>
  <r>
    <x v="70"/>
    <n v="8907.8799999999992"/>
    <n v="8.6999999999999993"/>
    <x v="0"/>
    <s v="AM07"/>
    <s v="Conté informació necessaria"/>
    <m/>
    <x v="0"/>
  </r>
  <r>
    <x v="71"/>
    <n v="1.19"/>
    <n v="0"/>
    <x v="1"/>
    <m/>
    <m/>
    <m/>
    <x v="0"/>
  </r>
  <r>
    <x v="72"/>
    <n v="2.25"/>
    <n v="0"/>
    <x v="1"/>
    <m/>
    <m/>
    <s v="ENQ"/>
    <x v="6"/>
  </r>
  <r>
    <x v="73"/>
    <n v="132.88"/>
    <n v="0.13"/>
    <x v="0"/>
    <s v="AM05"/>
    <m/>
    <m/>
    <x v="0"/>
  </r>
  <r>
    <x v="74"/>
    <n v="6056.13"/>
    <n v="5.91"/>
    <x v="1"/>
    <m/>
    <m/>
    <m/>
    <x v="0"/>
  </r>
  <r>
    <x v="75"/>
    <n v="1688.69"/>
    <n v="1.65"/>
    <x v="0"/>
    <s v="AM10"/>
    <m/>
    <m/>
    <x v="0"/>
  </r>
  <r>
    <x v="76"/>
    <n v="1794.19"/>
    <n v="1.75"/>
    <x v="1"/>
    <s v="AM07"/>
    <m/>
    <s v="FIE"/>
    <x v="1"/>
  </r>
  <r>
    <x v="77"/>
    <n v="3724.06"/>
    <n v="3.64"/>
    <x v="0"/>
    <s v="AM05"/>
    <m/>
    <m/>
    <x v="0"/>
  </r>
  <r>
    <x v="78"/>
    <n v="0.69"/>
    <n v="0"/>
    <x v="0"/>
    <s v="AM05"/>
    <m/>
    <m/>
    <x v="0"/>
  </r>
  <r>
    <x v="79"/>
    <n v="12105.63"/>
    <n v="11.82"/>
    <x v="0"/>
    <s v="AM05"/>
    <m/>
    <m/>
    <x v="0"/>
  </r>
  <r>
    <x v="80"/>
    <n v="9.25"/>
    <n v="0.01"/>
    <x v="1"/>
    <m/>
    <m/>
    <m/>
    <x v="0"/>
  </r>
  <r>
    <x v="81"/>
    <n v="312449.13"/>
    <n v="305.13"/>
    <x v="0"/>
    <s v="AM10"/>
    <m/>
    <m/>
    <x v="0"/>
  </r>
  <r>
    <x v="82"/>
    <n v="14227.13"/>
    <n v="13.89"/>
    <x v="0"/>
    <s v="AM15"/>
    <m/>
    <m/>
    <x v="0"/>
  </r>
  <r>
    <x v="83"/>
    <n v="268.69"/>
    <n v="0.26"/>
    <x v="0"/>
    <s v="AM10"/>
    <m/>
    <m/>
    <x v="0"/>
  </r>
  <r>
    <x v="84"/>
    <n v="1558.44"/>
    <n v="1.52"/>
    <x v="0"/>
    <s v="AM11"/>
    <m/>
    <m/>
    <x v="0"/>
  </r>
  <r>
    <x v="85"/>
    <n v="1.69"/>
    <n v="0"/>
    <x v="1"/>
    <m/>
    <m/>
    <m/>
    <x v="0"/>
  </r>
  <r>
    <x v="86"/>
    <n v="0.31"/>
    <n v="0"/>
    <x v="0"/>
    <s v="AM10"/>
    <m/>
    <m/>
    <x v="0"/>
  </r>
  <r>
    <x v="87"/>
    <n v="111.88"/>
    <n v="0.11"/>
    <x v="1"/>
    <m/>
    <m/>
    <m/>
    <x v="0"/>
  </r>
  <r>
    <x v="88"/>
    <n v="53826.13"/>
    <n v="52.56"/>
    <x v="1"/>
    <m/>
    <m/>
    <m/>
    <x v="0"/>
  </r>
  <r>
    <x v="89"/>
    <n v="462.69"/>
    <n v="0.45"/>
    <x v="0"/>
    <s v="AM15"/>
    <m/>
    <m/>
    <x v="0"/>
  </r>
  <r>
    <x v="90"/>
    <n v="11.81"/>
    <n v="0.01"/>
    <x v="1"/>
    <m/>
    <m/>
    <m/>
    <x v="0"/>
  </r>
  <r>
    <x v="91"/>
    <n v="32.94"/>
    <n v="0.03"/>
    <x v="0"/>
    <s v="AM10"/>
    <m/>
    <m/>
    <x v="0"/>
  </r>
  <r>
    <x v="92"/>
    <n v="154.69"/>
    <n v="0.15"/>
    <x v="0"/>
    <s v="AM10"/>
    <m/>
    <m/>
    <x v="0"/>
  </r>
  <r>
    <x v="93"/>
    <n v="590.05999999999995"/>
    <n v="0.57999999999999996"/>
    <x v="0"/>
    <s v="AM10"/>
    <m/>
    <m/>
    <x v="0"/>
  </r>
  <r>
    <x v="94"/>
    <n v="8.44"/>
    <n v="0.01"/>
    <x v="1"/>
    <s v="AM10"/>
    <s v="Pendent decisió ATIC"/>
    <m/>
    <x v="0"/>
  </r>
  <r>
    <x v="95"/>
    <n v="10.44"/>
    <n v="0.01"/>
    <x v="0"/>
    <s v="AM10"/>
    <m/>
    <m/>
    <x v="0"/>
  </r>
  <r>
    <x v="96"/>
    <n v="50.5"/>
    <n v="0.05"/>
    <x v="0"/>
    <s v="AM10"/>
    <m/>
    <m/>
    <x v="0"/>
  </r>
  <r>
    <x v="97"/>
    <n v="439.94"/>
    <n v="0.43"/>
    <x v="0"/>
    <s v="AM10"/>
    <m/>
    <m/>
    <x v="0"/>
  </r>
  <r>
    <x v="98"/>
    <n v="443.06"/>
    <n v="0.43"/>
    <x v="0"/>
    <s v="AM10"/>
    <m/>
    <m/>
    <x v="0"/>
  </r>
  <r>
    <x v="99"/>
    <n v="170.19"/>
    <n v="0.17"/>
    <x v="0"/>
    <s v="AM10"/>
    <m/>
    <m/>
    <x v="0"/>
  </r>
  <r>
    <x v="100"/>
    <n v="67936.69"/>
    <n v="66.34"/>
    <x v="0"/>
    <s v="AM10"/>
    <m/>
    <m/>
    <x v="0"/>
  </r>
  <r>
    <x v="101"/>
    <n v="28733.75"/>
    <n v="28.06"/>
    <x v="0"/>
    <s v="AM10"/>
    <m/>
    <m/>
    <x v="0"/>
  </r>
  <r>
    <x v="102"/>
    <n v="2067.81"/>
    <n v="2.02"/>
    <x v="0"/>
    <s v="AM10"/>
    <m/>
    <m/>
    <x v="0"/>
  </r>
  <r>
    <x v="103"/>
    <n v="702.69"/>
    <n v="0.69"/>
    <x v="0"/>
    <s v="AM10"/>
    <m/>
    <m/>
    <x v="0"/>
  </r>
  <r>
    <x v="104"/>
    <n v="23.56"/>
    <n v="0.02"/>
    <x v="1"/>
    <s v="AM10"/>
    <s v="Pendent decisió ATIC"/>
    <s v="GSA"/>
    <x v="1"/>
  </r>
  <r>
    <x v="105"/>
    <n v="13.5"/>
    <n v="0.01"/>
    <x v="3"/>
    <s v="AM05"/>
    <s v="Es podria historificar i treure d'E13BD, aplicació tancada i obsoleta"/>
    <s v="GSD"/>
    <x v="2"/>
  </r>
  <r>
    <x v="106"/>
    <n v="8.06"/>
    <n v="0.01"/>
    <x v="0"/>
    <s v="AM05"/>
    <m/>
    <m/>
    <x v="0"/>
  </r>
  <r>
    <x v="107"/>
    <n v="2.38"/>
    <n v="0"/>
    <x v="3"/>
    <s v="AM05"/>
    <s v="Es podria historificar i treure d'E13BD, aplicació tancada i obsoleta"/>
    <s v="GSD"/>
    <x v="2"/>
  </r>
  <r>
    <x v="108"/>
    <n v="11150.94"/>
    <n v="10.89"/>
    <x v="0"/>
    <s v="AM05"/>
    <m/>
    <m/>
    <x v="0"/>
  </r>
  <r>
    <x v="109"/>
    <n v="3978.5"/>
    <n v="3.89"/>
    <x v="3"/>
    <s v="AM05"/>
    <s v="Es podria historificar i treure d'E13BD, aplicació tancada i obsoleta"/>
    <s v="GSD"/>
    <x v="2"/>
  </r>
  <r>
    <x v="110"/>
    <n v="152875.6"/>
    <n v="149.29"/>
    <x v="0"/>
    <s v="AM05"/>
    <m/>
    <m/>
    <x v="0"/>
  </r>
  <r>
    <x v="111"/>
    <n v="68.13"/>
    <n v="7.0000000000000007E-2"/>
    <x v="3"/>
    <s v="AM05"/>
    <s v="Es podria historificar i treure d'E13BD, aplicació tancada i obsoleta"/>
    <s v="GSD"/>
    <x v="2"/>
  </r>
  <r>
    <x v="112"/>
    <n v="11.75"/>
    <n v="0.01"/>
    <x v="3"/>
    <s v="AM05"/>
    <s v="Es podria historificar i treure d'E13BD, aplicació tancada i obsoleta"/>
    <s v="GSD"/>
    <x v="2"/>
  </r>
  <r>
    <x v="113"/>
    <n v="6.25"/>
    <n v="0.01"/>
    <x v="3"/>
    <s v="AM05"/>
    <s v="Es podria historificar i treure d'E13BD, aplicació tancada i obsoleta"/>
    <s v="GSD"/>
    <x v="2"/>
  </r>
  <r>
    <x v="114"/>
    <n v="6382"/>
    <n v="6.23"/>
    <x v="0"/>
    <s v="AM05"/>
    <m/>
    <m/>
    <x v="0"/>
  </r>
  <r>
    <x v="115"/>
    <n v="13273.81"/>
    <n v="12.96"/>
    <x v="3"/>
    <s v="AM05"/>
    <s v="Conté taules de logs. Potser es podrien esborrar registres. Cal revisar que no siguin consultades des de l'aplicació."/>
    <s v="GSD"/>
    <x v="2"/>
  </r>
  <r>
    <x v="116"/>
    <n v="96.06"/>
    <n v="0.09"/>
    <x v="0"/>
    <s v="AM05"/>
    <m/>
    <m/>
    <x v="0"/>
  </r>
  <r>
    <x v="117"/>
    <n v="111.25"/>
    <n v="0.11"/>
    <x v="1"/>
    <s v="AM10"/>
    <m/>
    <s v="GTE"/>
    <x v="1"/>
  </r>
  <r>
    <x v="118"/>
    <n v="7.69"/>
    <n v="0.01"/>
    <x v="1"/>
    <s v="AM10"/>
    <m/>
    <s v="GTE"/>
    <x v="1"/>
  </r>
  <r>
    <x v="119"/>
    <n v="62.25"/>
    <n v="0.06"/>
    <x v="1"/>
    <s v="AM10"/>
    <m/>
    <s v="GTE"/>
    <x v="1"/>
  </r>
  <r>
    <x v="120"/>
    <n v="12.81"/>
    <n v="0.01"/>
    <x v="1"/>
    <s v="AM10"/>
    <m/>
    <s v="GTE"/>
    <x v="1"/>
  </r>
  <r>
    <x v="121"/>
    <n v="20524.689999999999"/>
    <n v="20.04"/>
    <x v="0"/>
    <s v="AM05"/>
    <m/>
    <m/>
    <x v="0"/>
  </r>
  <r>
    <x v="122"/>
    <n v="2861.81"/>
    <n v="2.79"/>
    <x v="0"/>
    <s v="AM10"/>
    <m/>
    <m/>
    <x v="0"/>
  </r>
  <r>
    <x v="123"/>
    <n v="32402.44"/>
    <n v="31.64"/>
    <x v="0"/>
    <s v="AM10"/>
    <m/>
    <m/>
    <x v="0"/>
  </r>
  <r>
    <x v="124"/>
    <n v="6679"/>
    <n v="6.52"/>
    <x v="0"/>
    <s v="AM10"/>
    <m/>
    <m/>
    <x v="0"/>
  </r>
  <r>
    <x v="125"/>
    <n v="4235.5600000000004"/>
    <n v="4.1399999999999997"/>
    <x v="0"/>
    <s v="AM10"/>
    <m/>
    <m/>
    <x v="0"/>
  </r>
  <r>
    <x v="126"/>
    <n v="21688"/>
    <n v="21.18"/>
    <x v="1"/>
    <s v="AM10"/>
    <s v="Si es tracta de l'àntic idalu creiem que es pot eliminar"/>
    <m/>
    <x v="0"/>
  </r>
  <r>
    <x v="127"/>
    <n v="11.69"/>
    <n v="0.01"/>
    <x v="0"/>
    <s v="AM15"/>
    <m/>
    <m/>
    <x v="0"/>
  </r>
  <r>
    <x v="128"/>
    <n v="766.88"/>
    <n v="0.75"/>
    <x v="1"/>
    <m/>
    <m/>
    <m/>
    <x v="0"/>
  </r>
  <r>
    <x v="129"/>
    <n v="41.56"/>
    <n v="0.04"/>
    <x v="0"/>
    <s v="AM05"/>
    <m/>
    <m/>
    <x v="0"/>
  </r>
  <r>
    <x v="130"/>
    <n v="310.56"/>
    <n v="0.3"/>
    <x v="1"/>
    <m/>
    <m/>
    <m/>
    <x v="0"/>
  </r>
  <r>
    <x v="131"/>
    <n v="84.69"/>
    <n v="0.08"/>
    <x v="3"/>
    <s v="AM05"/>
    <s v="Es podria historificar i treure d'E13BD, aplicació tancada i obsoleta"/>
    <s v="GSD"/>
    <x v="2"/>
  </r>
  <r>
    <x v="132"/>
    <n v="187.56"/>
    <n v="0.18"/>
    <x v="3"/>
    <s v="AM05"/>
    <s v="Es podria historificar i treure d'E13BD, aplicació tancada i obsoleta"/>
    <s v="GSD"/>
    <x v="2"/>
  </r>
  <r>
    <x v="133"/>
    <n v="46.56"/>
    <n v="0.05"/>
    <x v="1"/>
    <s v="AM07"/>
    <m/>
    <s v="MOE"/>
    <x v="6"/>
  </r>
  <r>
    <x v="134"/>
    <n v="58.56"/>
    <n v="0.06"/>
    <x v="1"/>
    <s v="AM07"/>
    <m/>
    <s v="MOE"/>
    <x v="6"/>
  </r>
  <r>
    <x v="135"/>
    <n v="60.38"/>
    <n v="0.06"/>
    <x v="1"/>
    <s v="AM07"/>
    <m/>
    <s v="MOE"/>
    <x v="6"/>
  </r>
  <r>
    <x v="136"/>
    <n v="49.25"/>
    <n v="0.05"/>
    <x v="1"/>
    <s v="AM07"/>
    <m/>
    <s v="MOE"/>
    <x v="6"/>
  </r>
  <r>
    <x v="137"/>
    <n v="684.13"/>
    <n v="0.67"/>
    <x v="1"/>
    <m/>
    <m/>
    <m/>
    <x v="0"/>
  </r>
  <r>
    <x v="138"/>
    <n v="627.94000000000005"/>
    <n v="0.61"/>
    <x v="0"/>
    <s v="AM10"/>
    <m/>
    <m/>
    <x v="0"/>
  </r>
  <r>
    <x v="139"/>
    <n v="929.25"/>
    <n v="0.91"/>
    <x v="0"/>
    <s v="AM10"/>
    <m/>
    <m/>
    <x v="0"/>
  </r>
  <r>
    <x v="140"/>
    <n v="3.56"/>
    <n v="0"/>
    <x v="0"/>
    <s v="AM10"/>
    <m/>
    <m/>
    <x v="0"/>
  </r>
  <r>
    <x v="141"/>
    <n v="3.31"/>
    <n v="0"/>
    <x v="0"/>
    <s v="AM10"/>
    <m/>
    <m/>
    <x v="0"/>
  </r>
  <r>
    <x v="142"/>
    <n v="22538.44"/>
    <n v="22.01"/>
    <x v="0"/>
    <s v="AM11"/>
    <m/>
    <m/>
    <x v="0"/>
  </r>
  <r>
    <x v="143"/>
    <n v="92396.63"/>
    <n v="90.23"/>
    <x v="0"/>
    <s v="AM10"/>
    <m/>
    <m/>
    <x v="0"/>
  </r>
  <r>
    <x v="144"/>
    <n v="34.130000000000003"/>
    <n v="0.03"/>
    <x v="1"/>
    <s v="AM10"/>
    <s v="Pendent decisió ATIC"/>
    <s v="MTC"/>
    <x v="5"/>
  </r>
  <r>
    <x v="145"/>
    <n v="1738.69"/>
    <n v="1.7"/>
    <x v="0"/>
    <s v="AM05"/>
    <m/>
    <m/>
    <x v="0"/>
  </r>
  <r>
    <x v="146"/>
    <n v="9530.81"/>
    <n v="9.31"/>
    <x v="0"/>
    <s v="AM10"/>
    <m/>
    <m/>
    <x v="0"/>
  </r>
  <r>
    <x v="147"/>
    <n v="46185.69"/>
    <n v="45.1"/>
    <x v="0"/>
    <s v="AM05"/>
    <m/>
    <m/>
    <x v="0"/>
  </r>
  <r>
    <x v="148"/>
    <n v="33020.75"/>
    <n v="32.25"/>
    <x v="2"/>
    <s v="AM05"/>
    <m/>
    <s v="OFERTA"/>
    <x v="2"/>
  </r>
  <r>
    <x v="149"/>
    <n v="19"/>
    <n v="0.02"/>
    <x v="2"/>
    <s v="AM05"/>
    <s v="Són del 2009 - Cal confirmar amb gestor si es pot esborrar o cal historificar"/>
    <s v="OPO"/>
    <x v="2"/>
  </r>
  <r>
    <x v="150"/>
    <n v="2.94"/>
    <n v="0"/>
    <x v="2"/>
    <s v="AM05"/>
    <s v="Són del 2009 - Cal confirmar amb gestor si es pot esborrar o cal historificar"/>
    <s v="OPO"/>
    <x v="2"/>
  </r>
  <r>
    <x v="151"/>
    <n v="0.25"/>
    <n v="0"/>
    <x v="0"/>
    <s v="AM10"/>
    <m/>
    <m/>
    <x v="0"/>
  </r>
  <r>
    <x v="152"/>
    <n v="2568.63"/>
    <n v="2.5099999999999998"/>
    <x v="0"/>
    <s v="AM05"/>
    <m/>
    <m/>
    <x v="0"/>
  </r>
  <r>
    <x v="153"/>
    <n v="14309.38"/>
    <n v="13.97"/>
    <x v="0"/>
    <s v="AM10"/>
    <m/>
    <m/>
    <x v="0"/>
  </r>
  <r>
    <x v="154"/>
    <n v="51667.56"/>
    <n v="50.46"/>
    <x v="0"/>
    <s v="AM10"/>
    <m/>
    <m/>
    <x v="0"/>
  </r>
  <r>
    <x v="155"/>
    <n v="69056.63"/>
    <n v="67.44"/>
    <x v="2"/>
    <s v="AM10"/>
    <s v="Cal confirmar amb gestor si es pot esborrar o cal historificar_x000a_DMM: Es troba de baixa a l'inventari d'app"/>
    <s v="PAV"/>
    <x v="1"/>
  </r>
  <r>
    <x v="156"/>
    <n v="0.13"/>
    <n v="0"/>
    <x v="1"/>
    <s v="AM10"/>
    <s v="DMM: Es troba de baixa a l'inventari d'app"/>
    <s v="PAV"/>
    <x v="1"/>
  </r>
  <r>
    <x v="157"/>
    <n v="1980.63"/>
    <n v="1.93"/>
    <x v="1"/>
    <s v="AM10"/>
    <s v="DMM: Es troba de baixa a l'inventari d'app"/>
    <s v="PAV"/>
    <x v="1"/>
  </r>
  <r>
    <x v="158"/>
    <n v="61.88"/>
    <n v="0.06"/>
    <x v="1"/>
    <m/>
    <s v="DMM: Es troba de baixa a l'inventari d'app"/>
    <m/>
    <x v="1"/>
  </r>
  <r>
    <x v="159"/>
    <n v="5038.0600000000004"/>
    <n v="4.92"/>
    <x v="0"/>
    <s v="AM05"/>
    <m/>
    <m/>
    <x v="0"/>
  </r>
  <r>
    <x v="160"/>
    <n v="791.31"/>
    <n v="0.77"/>
    <x v="0"/>
    <s v="AM10"/>
    <m/>
    <m/>
    <x v="0"/>
  </r>
  <r>
    <x v="161"/>
    <n v="55.06"/>
    <n v="0.05"/>
    <x v="1"/>
    <m/>
    <m/>
    <m/>
    <x v="0"/>
  </r>
  <r>
    <x v="162"/>
    <n v="14632.31"/>
    <n v="14.29"/>
    <x v="0"/>
    <s v="AM05"/>
    <m/>
    <m/>
    <x v="0"/>
  </r>
  <r>
    <x v="163"/>
    <n v="566.75"/>
    <n v="0.55000000000000004"/>
    <x v="0"/>
    <s v="AM11"/>
    <m/>
    <m/>
    <x v="0"/>
  </r>
  <r>
    <x v="164"/>
    <n v="491.81"/>
    <n v="0.48"/>
    <x v="0"/>
    <s v="AM11"/>
    <m/>
    <m/>
    <x v="0"/>
  </r>
  <r>
    <x v="165"/>
    <n v="0.81"/>
    <n v="0"/>
    <x v="1"/>
    <m/>
    <m/>
    <m/>
    <x v="0"/>
  </r>
  <r>
    <x v="166"/>
    <n v="71276.13"/>
    <n v="69.61"/>
    <x v="0"/>
    <s v="AM05"/>
    <m/>
    <m/>
    <x v="0"/>
  </r>
  <r>
    <x v="167"/>
    <n v="9491.06"/>
    <n v="9.27"/>
    <x v="0"/>
    <s v="AM10"/>
    <m/>
    <m/>
    <x v="0"/>
  </r>
  <r>
    <x v="168"/>
    <n v="154.31"/>
    <n v="0.15"/>
    <x v="0"/>
    <s v="AM10"/>
    <m/>
    <m/>
    <x v="0"/>
  </r>
  <r>
    <x v="169"/>
    <n v="168.94"/>
    <n v="0.16"/>
    <x v="2"/>
    <s v="AM10"/>
    <s v="Cal confirmar amb gestor si es pot esborrar o cal historificar"/>
    <s v="PPQPI"/>
    <x v="1"/>
  </r>
  <r>
    <x v="170"/>
    <n v="321.31"/>
    <n v="0.31"/>
    <x v="0"/>
    <s v="AM11"/>
    <m/>
    <m/>
    <x v="0"/>
  </r>
  <r>
    <x v="171"/>
    <n v="23590"/>
    <n v="23.04"/>
    <x v="0"/>
    <s v="AM05"/>
    <m/>
    <m/>
    <x v="0"/>
  </r>
  <r>
    <x v="172"/>
    <n v="3"/>
    <n v="0"/>
    <x v="2"/>
    <s v="AM15"/>
    <s v="Està donada de baixa"/>
    <s v="PREMISCAT"/>
    <x v="7"/>
  </r>
  <r>
    <x v="173"/>
    <n v="2896.31"/>
    <n v="2.83"/>
    <x v="0"/>
    <s v="AM05"/>
    <m/>
    <m/>
    <x v="0"/>
  </r>
  <r>
    <x v="174"/>
    <n v="24"/>
    <n v="0.02"/>
    <x v="2"/>
    <s v="AM05"/>
    <s v="Són unes dades cuinades per a la publicació del 2011 per evitar que es caigués el sistema quan es consultaven les publicacions - Cal confirmar amb gestor si es pot esborrar o cal historificar"/>
    <s v="PUB_RESULTATS"/>
    <x v="2"/>
  </r>
  <r>
    <x v="175"/>
    <n v="2712.88"/>
    <n v="2.65"/>
    <x v="0"/>
    <s v="AM10"/>
    <m/>
    <m/>
    <x v="0"/>
  </r>
  <r>
    <x v="176"/>
    <n v="63.88"/>
    <n v="0.06"/>
    <x v="0"/>
    <s v="AM10"/>
    <m/>
    <m/>
    <x v="0"/>
  </r>
  <r>
    <x v="177"/>
    <n v="571.44000000000005"/>
    <n v="0.56000000000000005"/>
    <x v="0"/>
    <s v="AM10"/>
    <m/>
    <m/>
    <x v="0"/>
  </r>
  <r>
    <x v="178"/>
    <n v="363.13"/>
    <n v="0.35"/>
    <x v="0"/>
    <s v="AM10"/>
    <m/>
    <m/>
    <x v="0"/>
  </r>
  <r>
    <x v="179"/>
    <n v="3.13"/>
    <n v="0"/>
    <x v="0"/>
    <s v="AM10"/>
    <m/>
    <m/>
    <x v="0"/>
  </r>
  <r>
    <x v="180"/>
    <n v="60769.25"/>
    <n v="59.34"/>
    <x v="0"/>
    <s v="AM10"/>
    <m/>
    <m/>
    <x v="0"/>
  </r>
  <r>
    <x v="181"/>
    <n v="401.19"/>
    <n v="0.39"/>
    <x v="0"/>
    <s v="AM10"/>
    <m/>
    <m/>
    <x v="0"/>
  </r>
  <r>
    <x v="182"/>
    <n v="270.31"/>
    <n v="0.26"/>
    <x v="2"/>
    <s v="AM15"/>
    <s v="Està donada de baixa"/>
    <s v="RESERVA_SALES"/>
    <x v="7"/>
  </r>
  <r>
    <x v="183"/>
    <n v="24927.81"/>
    <n v="24.34"/>
    <x v="0"/>
    <s v="AM05"/>
    <m/>
    <m/>
    <x v="0"/>
  </r>
  <r>
    <x v="184"/>
    <n v="1944.31"/>
    <n v="1.9"/>
    <x v="0"/>
    <s v="AM05"/>
    <m/>
    <m/>
    <x v="0"/>
  </r>
  <r>
    <x v="185"/>
    <n v="9280.3799999999992"/>
    <n v="9.06"/>
    <x v="0"/>
    <s v="AM10"/>
    <m/>
    <m/>
    <x v="0"/>
  </r>
  <r>
    <x v="186"/>
    <n v="14947.44"/>
    <n v="14.6"/>
    <x v="0"/>
    <s v="AM10"/>
    <m/>
    <m/>
    <x v="0"/>
  </r>
  <r>
    <x v="187"/>
    <n v="3.5"/>
    <n v="0"/>
    <x v="1"/>
    <m/>
    <m/>
    <m/>
    <x v="0"/>
  </r>
  <r>
    <x v="188"/>
    <n v="7.19"/>
    <n v="0.01"/>
    <x v="1"/>
    <m/>
    <m/>
    <m/>
    <x v="0"/>
  </r>
  <r>
    <x v="189"/>
    <n v="7.81"/>
    <n v="0.01"/>
    <x v="1"/>
    <m/>
    <m/>
    <m/>
    <x v="0"/>
  </r>
  <r>
    <x v="190"/>
    <n v="12063.06"/>
    <n v="11.78"/>
    <x v="0"/>
    <s v="AM10"/>
    <m/>
    <m/>
    <x v="0"/>
  </r>
  <r>
    <x v="191"/>
    <n v="88401.31"/>
    <n v="86.33"/>
    <x v="0"/>
    <s v="AM10"/>
    <m/>
    <m/>
    <x v="0"/>
  </r>
  <r>
    <x v="192"/>
    <n v="33412.25"/>
    <n v="32.630000000000003"/>
    <x v="0"/>
    <s v="AM10"/>
    <m/>
    <m/>
    <x v="0"/>
  </r>
  <r>
    <x v="193"/>
    <n v="2.31"/>
    <n v="0"/>
    <x v="0"/>
    <s v="AM05"/>
    <m/>
    <m/>
    <x v="0"/>
  </r>
  <r>
    <x v="194"/>
    <n v="39932.379999999997"/>
    <n v="39"/>
    <x v="0"/>
    <s v="AM10"/>
    <m/>
    <m/>
    <x v="0"/>
  </r>
  <r>
    <x v="195"/>
    <n v="42207.06"/>
    <n v="41.22"/>
    <x v="0"/>
    <s v="AM05"/>
    <m/>
    <m/>
    <x v="0"/>
  </r>
  <r>
    <x v="196"/>
    <n v="2.19"/>
    <n v="0"/>
    <x v="1"/>
    <m/>
    <m/>
    <m/>
    <x v="0"/>
  </r>
  <r>
    <x v="197"/>
    <n v="6980.88"/>
    <n v="6.82"/>
    <x v="0"/>
    <s v="AM10"/>
    <s v="És compatida amb AM05 ja que l'aplicació GTI té les seves taules a la TME"/>
    <m/>
    <x v="0"/>
  </r>
  <r>
    <x v="198"/>
    <n v="0.19"/>
    <n v="0"/>
    <x v="0"/>
    <s v="AM10"/>
    <m/>
    <m/>
    <x v="0"/>
  </r>
  <r>
    <x v="199"/>
    <n v="54525.440000000002"/>
    <n v="53.25"/>
    <x v="0"/>
    <s v="AM05"/>
    <m/>
    <m/>
    <x v="0"/>
  </r>
  <r>
    <x v="200"/>
    <n v="1792.5"/>
    <n v="1.75"/>
    <x v="1"/>
    <m/>
    <m/>
    <m/>
    <x v="0"/>
  </r>
  <r>
    <x v="201"/>
    <n v="40.44"/>
    <n v="0.04"/>
    <x v="0"/>
    <s v="AM05"/>
    <m/>
    <m/>
    <x v="0"/>
  </r>
  <r>
    <x v="202"/>
    <n v="8.8800000000000008"/>
    <n v="0.01"/>
    <x v="0"/>
    <s v="AM10"/>
    <s v="Nosaltres gestionem una aplicació anomenada &quot;1143-AGORA-EOI&quot; de Campus Virtuals però està allotjada a AWS. Si fos nostre es podria eliminar però impossible saber-ho sense conèixer les dades que hi ha dins."/>
    <m/>
    <x v="0"/>
  </r>
  <r>
    <x v="203"/>
    <n v="304.38"/>
    <n v="0.3"/>
    <x v="1"/>
    <m/>
    <m/>
    <m/>
    <x v="0"/>
  </r>
  <r>
    <x v="204"/>
    <n v="9.44"/>
    <n v="0.01"/>
    <x v="1"/>
    <m/>
    <m/>
    <m/>
    <x v="0"/>
  </r>
  <r>
    <x v="205"/>
    <n v="263449"/>
    <n v="257.27"/>
    <x v="1"/>
    <m/>
    <m/>
    <m/>
    <x v="0"/>
  </r>
  <r>
    <x v="206"/>
    <n v="98031.94"/>
    <n v="95.73"/>
    <x v="0"/>
    <s v="AM05"/>
    <s v="Ja s'esborra, sota petició de la usuària, la taula respostes dels qüestionaris. Potser es podria esborrar registres de les taules de logs. Caldria que la usuària donés l'ok."/>
    <m/>
    <x v="0"/>
  </r>
  <r>
    <x v="207"/>
    <n v="9305.25"/>
    <n v="9.09"/>
    <x v="0"/>
    <s v="AM10"/>
    <m/>
    <m/>
    <x v="0"/>
  </r>
  <r>
    <x v="208"/>
    <n v="775.25"/>
    <n v="0.76"/>
    <x v="0"/>
    <s v="AM10"/>
    <m/>
    <m/>
    <x v="0"/>
  </r>
  <r>
    <x v="209"/>
    <n v="356430"/>
    <n v="348.08"/>
    <x v="0"/>
    <s v="AM10"/>
    <m/>
    <m/>
    <x v="0"/>
  </r>
  <r>
    <x v="210"/>
    <n v="1.75"/>
    <n v="0"/>
    <x v="2"/>
    <s v="AM10"/>
    <s v="Teoricament es va demanar el seu esborrat."/>
    <s v="GEPSE"/>
    <x v="7"/>
  </r>
  <r>
    <x v="211"/>
    <n v="1741.44"/>
    <n v="1.7"/>
    <x v="1"/>
    <m/>
    <m/>
    <m/>
    <x v="0"/>
  </r>
  <r>
    <x v="212"/>
    <n v="6.19"/>
    <n v="0.01"/>
    <x v="1"/>
    <m/>
    <m/>
    <m/>
    <x v="0"/>
  </r>
  <r>
    <x v="213"/>
    <n v="331.19"/>
    <n v="0.32"/>
    <x v="1"/>
    <m/>
    <m/>
    <m/>
    <x v="0"/>
  </r>
  <r>
    <x v="214"/>
    <n v="175016"/>
    <n v="170.91"/>
    <x v="0"/>
    <s v="AM10"/>
    <m/>
    <m/>
    <x v="0"/>
  </r>
  <r>
    <x v="215"/>
    <n v="0.13"/>
    <n v="0"/>
    <x v="1"/>
    <m/>
    <m/>
    <m/>
    <x v="0"/>
  </r>
  <r>
    <x v="216"/>
    <n v="1120.69"/>
    <n v="1.0900000000000001"/>
    <x v="0"/>
    <s v="AM05"/>
    <m/>
    <m/>
    <x v="0"/>
  </r>
  <r>
    <x v="217"/>
    <n v="7587.69"/>
    <n v="7.41"/>
    <x v="0"/>
    <s v="AM05"/>
    <m/>
    <m/>
    <x v="0"/>
  </r>
  <r>
    <x v="218"/>
    <n v="0.25"/>
    <n v="0"/>
    <x v="0"/>
    <s v="AM05"/>
    <m/>
    <m/>
    <x v="0"/>
  </r>
  <r>
    <x v="219"/>
    <n v="32.94"/>
    <n v="0.03"/>
    <x v="1"/>
    <s v="AM10"/>
    <s v="No sabem realment que hi ha dins"/>
    <m/>
    <x v="0"/>
  </r>
  <r>
    <x v="220"/>
    <n v="0.19"/>
    <n v="0"/>
    <x v="2"/>
    <s v="AM10"/>
    <m/>
    <m/>
    <x v="0"/>
  </r>
  <r>
    <x v="221"/>
    <n v="6.44"/>
    <n v="0.01"/>
    <x v="1"/>
    <s v="AM10"/>
    <s v="No sabem realment que hi ha dins"/>
    <m/>
    <x v="0"/>
  </r>
  <r>
    <x v="222"/>
    <n v="6608.5"/>
    <n v="6.45"/>
    <x v="1"/>
    <s v="AM10"/>
    <m/>
    <m/>
    <x v="0"/>
  </r>
  <r>
    <x v="223"/>
    <n v="41.06"/>
    <n v="0.04"/>
    <x v="1"/>
    <m/>
    <m/>
    <m/>
    <x v="0"/>
  </r>
  <r>
    <x v="224"/>
    <n v="8"/>
    <n v="0.01"/>
    <x v="0"/>
    <s v="AM10"/>
    <m/>
    <m/>
    <x v="0"/>
  </r>
  <r>
    <x v="225"/>
    <n v="0.88"/>
    <n v="0"/>
    <x v="1"/>
    <m/>
    <m/>
    <m/>
    <x v="0"/>
  </r>
  <r>
    <x v="226"/>
    <n v="13.44"/>
    <n v="0.01"/>
    <x v="1"/>
    <m/>
    <m/>
    <m/>
    <x v="0"/>
  </r>
  <r>
    <x v="227"/>
    <n v="1.56"/>
    <n v="0"/>
    <x v="1"/>
    <m/>
    <m/>
    <m/>
    <x v="0"/>
  </r>
  <r>
    <x v="228"/>
    <n v="113932.69"/>
    <n v="111.26"/>
    <x v="0"/>
    <s v="AM10"/>
    <m/>
    <m/>
    <x v="0"/>
  </r>
  <r>
    <x v="229"/>
    <n v="637.13"/>
    <n v="0.62"/>
    <x v="0"/>
    <s v="AM10"/>
    <m/>
    <m/>
    <x v="0"/>
  </r>
  <r>
    <x v="230"/>
    <n v="767.19"/>
    <n v="0.75"/>
    <x v="0"/>
    <s v="AM10"/>
    <m/>
    <m/>
    <x v="0"/>
  </r>
  <r>
    <x v="231"/>
    <n v="13634.56"/>
    <n v="13.32"/>
    <x v="0"/>
    <s v="AM10"/>
    <m/>
    <m/>
    <x v="0"/>
  </r>
  <r>
    <x v="232"/>
    <n v="4399.3100000000004"/>
    <n v="4.3"/>
    <x v="1"/>
    <s v="AM10"/>
    <s v="Còpia de PERGAM. Caldria consultar a l'ATIC."/>
    <s v="EPERGAM"/>
    <x v="5"/>
  </r>
  <r>
    <x v="233"/>
    <n v="20.309999999999999"/>
    <n v="0.02"/>
    <x v="1"/>
    <m/>
    <m/>
    <m/>
    <x v="0"/>
  </r>
  <r>
    <x v="234"/>
    <n v="181.25"/>
    <n v="0.18"/>
    <x v="1"/>
    <m/>
    <m/>
    <m/>
    <x v="0"/>
  </r>
  <r>
    <x v="235"/>
    <n v="169"/>
    <n v="0.17"/>
    <x v="1"/>
    <m/>
    <m/>
    <m/>
    <x v="0"/>
  </r>
  <r>
    <x v="236"/>
    <n v="4756.75"/>
    <n v="4.6500000000000004"/>
    <x v="0"/>
    <s v="AM05"/>
    <m/>
    <m/>
    <x v="0"/>
  </r>
  <r>
    <x v="237"/>
    <n v="483.19"/>
    <n v="0.47"/>
    <x v="1"/>
    <m/>
    <m/>
    <m/>
    <x v="0"/>
  </r>
  <r>
    <x v="238"/>
    <n v="208.31"/>
    <n v="0.2"/>
    <x v="1"/>
    <m/>
    <m/>
    <m/>
    <x v="0"/>
  </r>
  <r>
    <x v="239"/>
    <n v="52937.38"/>
    <n v="51.7"/>
    <x v="0"/>
    <s v="AM11"/>
    <m/>
    <m/>
    <x v="0"/>
  </r>
  <r>
    <x v="240"/>
    <n v="198.69"/>
    <n v="0.19"/>
    <x v="0"/>
    <s v="AM11"/>
    <m/>
    <m/>
    <x v="0"/>
  </r>
  <r>
    <x v="241"/>
    <n v="2318.13"/>
    <n v="2.2599999999999998"/>
    <x v="1"/>
    <m/>
    <m/>
    <m/>
    <x v="0"/>
  </r>
  <r>
    <x v="242"/>
    <n v="325.69"/>
    <n v="0.32"/>
    <x v="1"/>
    <m/>
    <m/>
    <m/>
    <x v="0"/>
  </r>
  <r>
    <x v="243"/>
    <n v="33.31"/>
    <n v="0.03"/>
    <x v="1"/>
    <m/>
    <m/>
    <m/>
    <x v="0"/>
  </r>
  <r>
    <x v="244"/>
    <n v="7.94"/>
    <n v="0.01"/>
    <x v="1"/>
    <m/>
    <m/>
    <m/>
    <x v="0"/>
  </r>
  <r>
    <x v="245"/>
    <n v="6"/>
    <n v="0.01"/>
    <x v="1"/>
    <m/>
    <m/>
    <m/>
    <x v="0"/>
  </r>
  <r>
    <x v="246"/>
    <n v="11.06"/>
    <n v="0.01"/>
    <x v="1"/>
    <m/>
    <m/>
    <m/>
    <x v="0"/>
  </r>
  <r>
    <x v="247"/>
    <n v="56.75"/>
    <n v="0.06"/>
    <x v="1"/>
    <m/>
    <m/>
    <m/>
    <x v="0"/>
  </r>
  <r>
    <x v="248"/>
    <n v="177.44"/>
    <n v="0.17"/>
    <x v="1"/>
    <m/>
    <m/>
    <m/>
    <x v="0"/>
  </r>
  <r>
    <x v="249"/>
    <n v="5684.69"/>
    <n v="5.55"/>
    <x v="1"/>
    <m/>
    <m/>
    <m/>
    <x v="0"/>
  </r>
  <r>
    <x v="250"/>
    <n v="48.44"/>
    <n v="0.05"/>
    <x v="1"/>
    <m/>
    <m/>
    <m/>
    <x v="0"/>
  </r>
  <r>
    <x v="251"/>
    <n v="296.69"/>
    <n v="0.28999999999999998"/>
    <x v="1"/>
    <m/>
    <m/>
    <m/>
    <x v="0"/>
  </r>
  <r>
    <x v="252"/>
    <n v="2835.38"/>
    <n v="2.77"/>
    <x v="1"/>
    <m/>
    <m/>
    <m/>
    <x v="0"/>
  </r>
  <r>
    <x v="253"/>
    <n v="0.13"/>
    <n v="0"/>
    <x v="1"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EBCB3-1A41-48EE-97B9-E25FF5ABBDF8}" name="Taula dinàmica7" cacheId="2029" applyNumberFormats="0" applyBorderFormats="0" applyFontFormats="0" applyPatternFormats="0" applyAlignmentFormats="0" applyWidthHeightFormats="1" dataCaption="Valors" updatedVersion="8" minRefreshableVersion="3" useAutoFormatting="1" itemPrintTitles="1" createdVersion="8" indent="0" outline="1" outlineData="1" multipleFieldFilters="0" rowHeaderCaption="Es pot eliminar">
  <location ref="H3:I8" firstHeaderRow="1" firstDataRow="1" firstDataCol="1"/>
  <pivotFields count="10">
    <pivotField showAll="0"/>
    <pivotField showAll="0"/>
    <pivotField showAll="0"/>
    <pivotField dataField="1"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GBByt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5F4A2-C0B8-4BF5-88D8-EEEA5562B556}" name="Taula dinàmica6" cacheId="2030" applyNumberFormats="0" applyBorderFormats="0" applyFontFormats="0" applyPatternFormats="0" applyAlignmentFormats="0" applyWidthHeightFormats="1" dataCaption="Valors" updatedVersion="8" minRefreshableVersion="3" useAutoFormatting="1" colGrandTotals="0" itemPrintTitles="1" createdVersion="8" indent="0" outline="1" outlineData="1" multipleFieldFilters="0" rowHeaderCaption="Es pot eliminar">
  <location ref="A3:B9" firstHeaderRow="1" firstDataRow="1" firstDataCol="1"/>
  <pivotFields count="9">
    <pivotField showAll="0"/>
    <pivotField showAll="0"/>
    <pivotField dataField="1" showAll="0"/>
    <pivotField axis="axisRow" showAll="0">
      <items count="6">
        <item x="1"/>
        <item m="1" x="4"/>
        <item x="0"/>
        <item x="2"/>
        <item x="3"/>
        <item t="default"/>
      </items>
    </pivotField>
    <pivotField showAll="0"/>
    <pivotField showAll="0"/>
    <pivotField showAll="0"/>
    <pivotField showAll="0"/>
    <pivotField axis="axisRow" showAll="0">
      <items count="5">
        <item sd="0" x="1"/>
        <item x="2"/>
        <item sd="0" x="0"/>
        <item x="3"/>
        <item t="default"/>
      </items>
    </pivotField>
  </pivotFields>
  <rowFields count="2">
    <field x="8"/>
    <field x="3"/>
  </rowFields>
  <rowItems count="6">
    <i>
      <x/>
    </i>
    <i>
      <x v="2"/>
    </i>
    <i>
      <x v="3"/>
    </i>
    <i r="1">
      <x v="3"/>
    </i>
    <i r="1">
      <x v="4"/>
    </i>
    <i t="grand">
      <x/>
    </i>
  </rowItems>
  <colItems count="1">
    <i/>
  </colItems>
  <dataFields count="1">
    <dataField name="Suma de GB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5002D-B564-4AC9-ABF1-CEDEF46A35CA}" name="Taula dinàmica2" cacheId="2029" applyNumberFormats="0" applyBorderFormats="0" applyFontFormats="0" applyPatternFormats="0" applyAlignmentFormats="0" applyWidthHeightFormats="1" dataCaption="Valors" updatedVersion="8" minRefreshableVersion="3" useAutoFormatting="1" itemPrintTitles="1" createdVersion="8" indent="0" outline="1" outlineData="1" multipleFieldFilters="0">
  <location ref="H18:I43" firstHeaderRow="1" firstDataRow="1" firstDataCol="1" rowPageCount="1" colPageCount="1"/>
  <pivotFields count="10">
    <pivotField axis="axisRow" showAll="0">
      <items count="118">
        <item x="55"/>
        <item x="27"/>
        <item x="65"/>
        <item x="4"/>
        <item x="70"/>
        <item x="93"/>
        <item x="20"/>
        <item x="19"/>
        <item x="21"/>
        <item x="112"/>
        <item x="17"/>
        <item x="1"/>
        <item x="16"/>
        <item x="107"/>
        <item x="103"/>
        <item x="41"/>
        <item x="69"/>
        <item x="74"/>
        <item x="33"/>
        <item x="81"/>
        <item x="29"/>
        <item x="0"/>
        <item x="80"/>
        <item x="114"/>
        <item x="37"/>
        <item x="62"/>
        <item x="52"/>
        <item x="45"/>
        <item x="34"/>
        <item x="39"/>
        <item x="104"/>
        <item x="75"/>
        <item x="6"/>
        <item x="92"/>
        <item x="99"/>
        <item x="111"/>
        <item x="90"/>
        <item x="43"/>
        <item x="25"/>
        <item x="63"/>
        <item x="108"/>
        <item x="61"/>
        <item x="98"/>
        <item x="38"/>
        <item x="67"/>
        <item x="46"/>
        <item x="32"/>
        <item x="47"/>
        <item x="14"/>
        <item x="54"/>
        <item x="44"/>
        <item x="40"/>
        <item x="94"/>
        <item x="115"/>
        <item x="113"/>
        <item x="97"/>
        <item x="102"/>
        <item x="71"/>
        <item x="83"/>
        <item x="12"/>
        <item x="85"/>
        <item x="23"/>
        <item x="89"/>
        <item x="95"/>
        <item x="58"/>
        <item x="49"/>
        <item x="8"/>
        <item x="72"/>
        <item x="105"/>
        <item x="56"/>
        <item x="84"/>
        <item x="68"/>
        <item x="86"/>
        <item x="88"/>
        <item x="15"/>
        <item x="28"/>
        <item x="96"/>
        <item x="79"/>
        <item x="51"/>
        <item x="91"/>
        <item x="100"/>
        <item x="9"/>
        <item x="101"/>
        <item x="26"/>
        <item x="73"/>
        <item x="53"/>
        <item x="42"/>
        <item x="24"/>
        <item x="31"/>
        <item x="10"/>
        <item x="7"/>
        <item x="35"/>
        <item x="48"/>
        <item x="13"/>
        <item x="87"/>
        <item x="116"/>
        <item x="5"/>
        <item x="22"/>
        <item x="82"/>
        <item x="3"/>
        <item x="77"/>
        <item x="76"/>
        <item x="2"/>
        <item x="106"/>
        <item x="57"/>
        <item x="11"/>
        <item x="66"/>
        <item x="60"/>
        <item x="36"/>
        <item x="59"/>
        <item x="50"/>
        <item x="18"/>
        <item x="64"/>
        <item x="110"/>
        <item x="109"/>
        <item x="30"/>
        <item x="78"/>
        <item t="default"/>
      </items>
    </pivotField>
    <pivotField showAll="0"/>
    <pivotField showAll="0"/>
    <pivotField dataField="1" showAll="0"/>
    <pivotField axis="axisPage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axis="axisRow" showAll="0">
      <items count="8">
        <item x="5"/>
        <item x="2"/>
        <item x="4"/>
        <item x="1"/>
        <item x="6"/>
        <item x="0"/>
        <item x="3"/>
        <item t="default"/>
      </items>
    </pivotField>
  </pivotFields>
  <rowFields count="2">
    <field x="9"/>
    <field x="0"/>
  </rowFields>
  <rowItems count="25">
    <i>
      <x/>
    </i>
    <i r="1">
      <x v="51"/>
    </i>
    <i>
      <x v="1"/>
    </i>
    <i r="1">
      <x v="6"/>
    </i>
    <i r="1">
      <x v="12"/>
    </i>
    <i r="1">
      <x v="34"/>
    </i>
    <i r="1">
      <x v="66"/>
    </i>
    <i r="1">
      <x v="67"/>
    </i>
    <i r="1">
      <x v="81"/>
    </i>
    <i r="1">
      <x v="85"/>
    </i>
    <i r="1">
      <x v="86"/>
    </i>
    <i>
      <x v="2"/>
    </i>
    <i r="1">
      <x v="11"/>
    </i>
    <i r="1">
      <x v="16"/>
    </i>
    <i r="1">
      <x v="17"/>
    </i>
    <i r="1">
      <x v="63"/>
    </i>
    <i>
      <x v="3"/>
    </i>
    <i r="1">
      <x v="51"/>
    </i>
    <i r="1">
      <x v="111"/>
    </i>
    <i>
      <x v="4"/>
    </i>
    <i r="1">
      <x v="58"/>
    </i>
    <i r="1">
      <x v="109"/>
    </i>
    <i>
      <x v="6"/>
    </i>
    <i r="1">
      <x v="20"/>
    </i>
    <i t="grand">
      <x/>
    </i>
  </rowItems>
  <colItems count="1">
    <i/>
  </colItems>
  <pageFields count="1">
    <pageField fld="4" item="2" hier="-1"/>
  </pageFields>
  <dataFields count="1">
    <dataField name="Suma de GBByt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AB756-9B69-4781-92E8-4B01A06A98D4}" name="Taula dinàmica1" cacheId="2030" applyNumberFormats="0" applyBorderFormats="0" applyFontFormats="0" applyPatternFormats="0" applyAlignmentFormats="0" applyWidthHeightFormats="1" dataCaption="Valors" updatedVersion="8" minRefreshableVersion="3" useAutoFormatting="1" itemPrintTitles="1" createdVersion="8" indent="0" outline="1" outlineData="1" multipleFieldFilters="0">
  <location ref="A18:B58" firstHeaderRow="1" firstDataRow="1" firstDataCol="1" rowPageCount="1" colPageCount="1"/>
  <pivotFields count="9">
    <pivotField axis="axisRow" showAll="0">
      <items count="2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6">
        <item h="1" x="1"/>
        <item h="1" x="0"/>
        <item x="2"/>
        <item x="3"/>
        <item h="1"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1">
        <item m="1" x="9"/>
        <item x="1"/>
        <item x="7"/>
        <item x="2"/>
        <item x="5"/>
        <item x="0"/>
        <item x="3"/>
        <item x="4"/>
        <item x="6"/>
        <item m="1"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>
      <items count="5">
        <item h="1" x="1"/>
        <item h="1" x="0"/>
        <item x="3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0"/>
  </rowFields>
  <rowItems count="40">
    <i>
      <x v="1"/>
    </i>
    <i r="1">
      <x v="39"/>
    </i>
    <i r="1">
      <x v="42"/>
    </i>
    <i r="1">
      <x v="155"/>
    </i>
    <i r="1">
      <x v="169"/>
    </i>
    <i>
      <x v="2"/>
    </i>
    <i r="1">
      <x v="172"/>
    </i>
    <i r="1">
      <x v="182"/>
    </i>
    <i r="1">
      <x v="210"/>
    </i>
    <i>
      <x v="3"/>
    </i>
    <i r="1">
      <x v="22"/>
    </i>
    <i r="1">
      <x v="27"/>
    </i>
    <i r="1">
      <x v="36"/>
    </i>
    <i r="1">
      <x v="37"/>
    </i>
    <i r="1">
      <x v="44"/>
    </i>
    <i r="1">
      <x v="47"/>
    </i>
    <i r="1">
      <x v="48"/>
    </i>
    <i r="1">
      <x v="105"/>
    </i>
    <i r="1">
      <x v="107"/>
    </i>
    <i r="1">
      <x v="109"/>
    </i>
    <i r="1">
      <x v="111"/>
    </i>
    <i r="1">
      <x v="112"/>
    </i>
    <i r="1">
      <x v="113"/>
    </i>
    <i r="1">
      <x v="115"/>
    </i>
    <i r="1">
      <x v="131"/>
    </i>
    <i r="1">
      <x v="132"/>
    </i>
    <i r="1">
      <x v="148"/>
    </i>
    <i r="1">
      <x v="149"/>
    </i>
    <i r="1">
      <x v="150"/>
    </i>
    <i r="1">
      <x v="174"/>
    </i>
    <i>
      <x v="5"/>
    </i>
    <i r="1">
      <x v="6"/>
    </i>
    <i r="1">
      <x v="32"/>
    </i>
    <i r="1">
      <x v="33"/>
    </i>
    <i r="1">
      <x v="34"/>
    </i>
    <i r="1">
      <x v="53"/>
    </i>
    <i r="1">
      <x v="220"/>
    </i>
    <i>
      <x v="7"/>
    </i>
    <i r="1">
      <x v="54"/>
    </i>
    <i t="grand">
      <x/>
    </i>
  </rowItems>
  <colItems count="1">
    <i/>
  </colItems>
  <pageFields count="1">
    <pageField fld="3" hier="-1"/>
  </pageFields>
  <dataFields count="1">
    <dataField name="Suma de GB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esExternes_2" connectionId="1" xr16:uid="{52938834-CA72-4C5C-974D-BE48418507EF}" autoFormatId="16" applyNumberFormats="0" applyBorderFormats="0" applyFontFormats="0" applyPatternFormats="0" applyAlignmentFormats="0" applyWidthHeightFormats="0">
  <queryTableRefresh nextId="12" unboundColumnsRight="8">
    <queryTableFields count="11">
      <queryTableField id="1" name="OWNER                         ;" tableColumnId="1"/>
      <queryTableField id="2" name="TABLE                                           " tableColumnId="2"/>
      <queryTableField id="3" name=";MBYTES" tableColumnId="3"/>
      <queryTableField id="4" dataBound="0" tableColumnId="4"/>
      <queryTableField id="5" dataBound="0" tableColumnId="5"/>
      <queryTableField id="6" dataBound="0" tableColumnId="6"/>
      <queryTableField id="8" dataBound="0" tableColumnId="8"/>
      <queryTableField id="7" dataBound="0" tableColumnId="7"/>
      <queryTableField id="10" dataBound="0" tableColumnId="10"/>
      <queryTableField id="9" dataBound="0" tableColumnId="9"/>
      <queryTableField id="11" dataBound="0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BC74E2-7994-4CF4-B5C6-8561FE916CCD}" name="Taula5" displayName="Taula5" ref="A1:K255" totalsRowShown="0" headerRowDxfId="10">
  <autoFilter ref="A1:K255" xr:uid="{FB6E999A-4A72-404A-87D2-C75712D2CD47}">
    <filterColumn colId="5">
      <filters>
        <filter val="AM11"/>
      </filters>
    </filterColumn>
  </autoFilter>
  <sortState xmlns:xlrd2="http://schemas.microsoft.com/office/spreadsheetml/2017/richdata2" ref="A6:K255">
    <sortCondition descending="1" ref="C1:C255"/>
  </sortState>
  <tableColumns count="11">
    <tableColumn id="1" xr3:uid="{726A7777-5EFD-453A-BC9A-CD0227AE501D}" name="Owner"/>
    <tableColumn id="10" xr3:uid="{2AC361AE-2E41-4DE2-A94E-C96FA0614614}" name="table"/>
    <tableColumn id="2" xr3:uid="{1328518B-5DBE-4A4B-A532-7E1AB7E10590}" name="MB"/>
    <tableColumn id="3" xr3:uid="{5EC28984-090A-44E8-B2BE-89979F71665F}" name="GB"/>
    <tableColumn id="4" xr3:uid="{60CB2A50-B55A-471A-84E0-00354101E397}" name="Es pot eliminar?" dataDxfId="9"/>
    <tableColumn id="5" xr3:uid="{82A6F0A0-D81F-4464-A810-FE0ACDCB6ECB}" name="Lot"/>
    <tableColumn id="9" xr3:uid="{15DA1A41-A17E-4033-A00B-7065B5FD3DB3}" name="-"/>
    <tableColumn id="6" xr3:uid="{19B37D63-B0F7-4464-AC66-AA175CCC613B}" name="Observacions"/>
    <tableColumn id="8" xr3:uid="{6C082926-99E0-4A61-9723-0184D8493DC3}" name="Aplicació"/>
    <tableColumn id="7" xr3:uid="{E8EA244A-66C9-4F2E-9F58-B4B38E6B707F}" name="GS"/>
    <tableColumn id="11" xr3:uid="{D445FE7D-1DEA-44B4-BDE7-8341C5C50353}" name="Est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547501-35BC-4A2A-85FD-0E87BBE78419}" name="new_212__3" displayName="new_212__3" ref="A1:K516" tableType="queryTable" totalsRowShown="0">
  <autoFilter ref="A1:K516" xr:uid="{FAFDC199-311B-4885-BCB2-227AA3DDAF7C}"/>
  <tableColumns count="11">
    <tableColumn id="1" xr3:uid="{1C59D4A1-1DFB-4647-B434-7281D9C71E4D}" uniqueName="1" name="OWNER" queryTableFieldId="1" dataDxfId="8"/>
    <tableColumn id="2" xr3:uid="{DE21C2F2-3D7D-4598-AFEF-7569F0C18693}" uniqueName="2" name="TABLE                                           " queryTableFieldId="2" dataDxfId="7"/>
    <tableColumn id="3" xr3:uid="{27D99E9E-C605-4CF2-AC7A-457C9E1877A3}" uniqueName="3" name="MBYTES" queryTableFieldId="3"/>
    <tableColumn id="4" xr3:uid="{72FA306F-C9C2-40C6-85ED-173879F0003A}" uniqueName="4" name="GBBytes" queryTableFieldId="4" dataDxfId="6">
      <calculatedColumnFormula>new_212__3[[#This Row],[MBYTES]]/1024</calculatedColumnFormula>
    </tableColumn>
    <tableColumn id="5" xr3:uid="{0645135F-8E0F-428E-A465-EE0194AF4C1A}" uniqueName="5" name="Es pot eliminar?" queryTableFieldId="5" dataDxfId="5"/>
    <tableColumn id="6" xr3:uid="{94E660D9-D104-4E95-97D1-930F06FA5C84}" uniqueName="6" name="Lot" queryTableFieldId="6" dataDxfId="4"/>
    <tableColumn id="8" xr3:uid="{1254BC0C-036B-4478-8211-29379515691C}" uniqueName="8" name="Política esborrat/conservació?" queryTableFieldId="8" dataDxfId="3"/>
    <tableColumn id="7" xr3:uid="{8BA29FCE-F895-4E24-949F-9AF375176A33}" uniqueName="7" name="Observacions" queryTableFieldId="7" dataDxfId="2"/>
    <tableColumn id="10" xr3:uid="{A3FA0F76-D2DC-45BA-89DC-8B522518BDB8}" uniqueName="10" name="Aplicació" queryTableFieldId="10"/>
    <tableColumn id="9" xr3:uid="{B64F3F8D-1B6D-4B05-9E64-6A945F5671F9}" uniqueName="9" name="GS" queryTableFieldId="9" dataDxfId="1"/>
    <tableColumn id="11" xr3:uid="{08970705-8502-4CF6-9026-765D474B4C7B}" uniqueName="11" name="Pertany esquema obsolet" queryTableFieldId="11" dataDxfId="0">
      <calculatedColumnFormula array="1">IF(_xlfn.XLOOKUP(TRIM(A2),TRIM('Espai x esquema'!$A:$A),'Espai x esquema'!$E:$E,"",0)="Sí, però",
   "Sí",
   _xlfn.XLOOKUP(TRIM(A2),TRIM('Espai x esquema'!$A:$A),'Espai x esquema'!$E:$E,"",0))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89577-688F-4C72-BC20-ECAF3110BAAF}">
  <dimension ref="A1:J58"/>
  <sheetViews>
    <sheetView workbookViewId="0">
      <selection activeCell="E6" sqref="E6"/>
    </sheetView>
  </sheetViews>
  <sheetFormatPr defaultColWidth="8.7109375" defaultRowHeight="14.45"/>
  <cols>
    <col min="1" max="1" width="33.85546875" customWidth="1"/>
    <col min="2" max="2" width="22.5703125" bestFit="1" customWidth="1"/>
    <col min="3" max="4" width="11" bestFit="1" customWidth="1"/>
    <col min="5" max="5" width="10.85546875" bestFit="1" customWidth="1"/>
    <col min="6" max="7" width="5.7109375" bestFit="1" customWidth="1"/>
    <col min="8" max="8" width="28.42578125" bestFit="1" customWidth="1"/>
    <col min="9" max="9" width="16.42578125" bestFit="1" customWidth="1"/>
    <col min="10" max="10" width="6.85546875" bestFit="1" customWidth="1"/>
    <col min="11" max="11" width="5.85546875" bestFit="1" customWidth="1"/>
    <col min="12" max="12" width="7.85546875" bestFit="1" customWidth="1"/>
    <col min="13" max="13" width="5.85546875" bestFit="1" customWidth="1"/>
    <col min="14" max="14" width="6.85546875" bestFit="1" customWidth="1"/>
    <col min="15" max="15" width="17.140625" bestFit="1" customWidth="1"/>
    <col min="16" max="16" width="15.85546875" bestFit="1" customWidth="1"/>
  </cols>
  <sheetData>
    <row r="1" spans="1:10" ht="21">
      <c r="A1" s="57" t="s">
        <v>0</v>
      </c>
      <c r="B1" s="57"/>
      <c r="C1" s="57"/>
      <c r="H1" s="57" t="s">
        <v>1</v>
      </c>
      <c r="I1" s="57"/>
      <c r="J1" s="57"/>
    </row>
    <row r="2" spans="1:10" ht="21">
      <c r="A2" s="26"/>
      <c r="B2" s="26"/>
      <c r="C2" s="26"/>
      <c r="H2" s="26"/>
      <c r="I2" s="26"/>
      <c r="J2" s="26"/>
    </row>
    <row r="3" spans="1:10" ht="21">
      <c r="A3" s="23" t="s">
        <v>2</v>
      </c>
      <c r="B3" t="s">
        <v>3</v>
      </c>
      <c r="C3" s="26"/>
      <c r="H3" s="23" t="s">
        <v>2</v>
      </c>
      <c r="I3" t="s">
        <v>4</v>
      </c>
      <c r="J3" s="26"/>
    </row>
    <row r="4" spans="1:10" ht="21">
      <c r="A4" s="24" t="s">
        <v>5</v>
      </c>
      <c r="B4">
        <v>532.51999999999964</v>
      </c>
      <c r="C4" s="26"/>
      <c r="H4" s="24" t="s">
        <v>5</v>
      </c>
      <c r="I4">
        <v>21.7177734375</v>
      </c>
      <c r="J4" s="26"/>
    </row>
    <row r="5" spans="1:10" ht="21">
      <c r="A5" s="24" t="s">
        <v>6</v>
      </c>
      <c r="B5">
        <v>5642.5200000000023</v>
      </c>
      <c r="C5" s="26"/>
      <c r="H5" s="24" t="s">
        <v>6</v>
      </c>
      <c r="I5">
        <v>1890.3740234529998</v>
      </c>
      <c r="J5" s="26"/>
    </row>
    <row r="6" spans="1:10" ht="21">
      <c r="A6" s="24" t="s">
        <v>7</v>
      </c>
      <c r="B6">
        <v>135.15</v>
      </c>
      <c r="C6" s="26"/>
      <c r="H6" s="24" t="s">
        <v>8</v>
      </c>
      <c r="I6">
        <v>86.021484375</v>
      </c>
      <c r="J6" s="26"/>
    </row>
    <row r="7" spans="1:10" ht="21">
      <c r="A7" s="25" t="s">
        <v>8</v>
      </c>
      <c r="B7">
        <v>117.21000000000001</v>
      </c>
      <c r="C7" s="26"/>
      <c r="H7" s="24" t="s">
        <v>9</v>
      </c>
      <c r="I7">
        <v>54.072265625</v>
      </c>
      <c r="J7" s="26"/>
    </row>
    <row r="8" spans="1:10" ht="21">
      <c r="A8" s="25" t="s">
        <v>10</v>
      </c>
      <c r="B8">
        <v>17.939999999999998</v>
      </c>
      <c r="C8" s="26"/>
      <c r="H8" s="24" t="s">
        <v>11</v>
      </c>
      <c r="I8">
        <v>2052.1855468904996</v>
      </c>
      <c r="J8" s="26"/>
    </row>
    <row r="9" spans="1:10" ht="21">
      <c r="A9" s="24" t="s">
        <v>11</v>
      </c>
      <c r="B9">
        <v>6310.1900000000014</v>
      </c>
      <c r="C9" s="26"/>
      <c r="H9" s="26"/>
      <c r="I9" s="26"/>
      <c r="J9" s="26"/>
    </row>
    <row r="10" spans="1:10" ht="21">
      <c r="A10" s="26"/>
      <c r="B10" s="26"/>
      <c r="C10" s="26"/>
      <c r="H10" s="26"/>
      <c r="I10" s="26"/>
      <c r="J10" s="26"/>
    </row>
    <row r="11" spans="1:10" ht="21">
      <c r="A11" s="26"/>
      <c r="B11" s="26"/>
      <c r="C11" s="26"/>
      <c r="H11" s="26"/>
      <c r="I11" s="26"/>
      <c r="J11" s="26"/>
    </row>
    <row r="12" spans="1:10" ht="21">
      <c r="A12" s="26"/>
      <c r="B12" s="26"/>
      <c r="C12" s="26"/>
      <c r="H12" s="26"/>
      <c r="I12" s="26"/>
      <c r="J12" s="26"/>
    </row>
    <row r="13" spans="1:10" ht="21">
      <c r="A13" s="26"/>
      <c r="B13" s="26"/>
      <c r="C13" s="26"/>
      <c r="H13" s="26"/>
      <c r="I13" s="26"/>
      <c r="J13" s="26"/>
    </row>
    <row r="14" spans="1:10" ht="21">
      <c r="A14" s="26"/>
      <c r="B14" s="26"/>
      <c r="C14" s="26"/>
      <c r="H14" s="26"/>
      <c r="I14" s="26"/>
      <c r="J14" s="26"/>
    </row>
    <row r="16" spans="1:10">
      <c r="A16" s="23" t="s">
        <v>12</v>
      </c>
      <c r="B16" t="s">
        <v>13</v>
      </c>
      <c r="H16" s="23" t="s">
        <v>12</v>
      </c>
      <c r="I16" t="s">
        <v>8</v>
      </c>
    </row>
    <row r="18" spans="1:9">
      <c r="A18" s="23" t="s">
        <v>14</v>
      </c>
      <c r="B18" t="s">
        <v>3</v>
      </c>
      <c r="H18" s="23" t="s">
        <v>14</v>
      </c>
      <c r="I18" t="s">
        <v>4</v>
      </c>
    </row>
    <row r="19" spans="1:9">
      <c r="A19" s="24" t="s">
        <v>15</v>
      </c>
      <c r="B19">
        <v>67.88</v>
      </c>
      <c r="H19" s="24" t="s">
        <v>5</v>
      </c>
      <c r="I19">
        <v>6.9833984375</v>
      </c>
    </row>
    <row r="20" spans="1:9">
      <c r="A20" s="25" t="s">
        <v>16</v>
      </c>
      <c r="B20">
        <v>0</v>
      </c>
      <c r="H20" s="25" t="s">
        <v>17</v>
      </c>
      <c r="I20">
        <v>6.9833984375</v>
      </c>
    </row>
    <row r="21" spans="1:9">
      <c r="A21" s="25" t="s">
        <v>18</v>
      </c>
      <c r="B21">
        <v>0.28000000000000003</v>
      </c>
      <c r="H21" s="24" t="s">
        <v>15</v>
      </c>
      <c r="I21">
        <v>45.837890625</v>
      </c>
    </row>
    <row r="22" spans="1:9">
      <c r="A22" s="25" t="s">
        <v>19</v>
      </c>
      <c r="B22">
        <v>67.44</v>
      </c>
      <c r="H22" s="25" t="s">
        <v>20</v>
      </c>
      <c r="I22">
        <v>0.1953125</v>
      </c>
    </row>
    <row r="23" spans="1:9">
      <c r="A23" s="25" t="s">
        <v>21</v>
      </c>
      <c r="B23">
        <v>0.16</v>
      </c>
      <c r="H23" s="25" t="s">
        <v>22</v>
      </c>
      <c r="I23">
        <v>34.798828125</v>
      </c>
    </row>
    <row r="24" spans="1:9">
      <c r="A24" s="24" t="s">
        <v>23</v>
      </c>
      <c r="B24">
        <v>0.26</v>
      </c>
      <c r="H24" s="25" t="s">
        <v>24</v>
      </c>
      <c r="I24">
        <v>0.171875</v>
      </c>
    </row>
    <row r="25" spans="1:9">
      <c r="A25" s="25" t="s">
        <v>25</v>
      </c>
      <c r="B25">
        <v>0</v>
      </c>
      <c r="H25" s="25" t="s">
        <v>26</v>
      </c>
      <c r="I25">
        <v>1.828125</v>
      </c>
    </row>
    <row r="26" spans="1:9">
      <c r="A26" s="25" t="s">
        <v>27</v>
      </c>
      <c r="B26">
        <v>0.26</v>
      </c>
      <c r="H26" s="25" t="s">
        <v>28</v>
      </c>
      <c r="I26">
        <v>1.419921875</v>
      </c>
    </row>
    <row r="27" spans="1:9">
      <c r="A27" s="25" t="s">
        <v>29</v>
      </c>
      <c r="B27">
        <v>0</v>
      </c>
      <c r="H27" s="25" t="s">
        <v>30</v>
      </c>
      <c r="I27">
        <v>0.296875</v>
      </c>
    </row>
    <row r="28" spans="1:9">
      <c r="A28" s="24" t="s">
        <v>31</v>
      </c>
      <c r="B28">
        <v>61.220000000000006</v>
      </c>
      <c r="H28" s="25" t="s">
        <v>32</v>
      </c>
      <c r="I28">
        <v>4.642578125</v>
      </c>
    </row>
    <row r="29" spans="1:9">
      <c r="A29" s="25" t="s">
        <v>33</v>
      </c>
      <c r="B29">
        <v>7.0000000000000007E-2</v>
      </c>
      <c r="H29" s="25" t="s">
        <v>34</v>
      </c>
      <c r="I29">
        <v>2.484375</v>
      </c>
    </row>
    <row r="30" spans="1:9">
      <c r="A30" s="25" t="s">
        <v>35</v>
      </c>
      <c r="B30">
        <v>0</v>
      </c>
      <c r="H30" s="24" t="s">
        <v>31</v>
      </c>
      <c r="I30">
        <v>6.029296875</v>
      </c>
    </row>
    <row r="31" spans="1:9">
      <c r="A31" s="25" t="s">
        <v>36</v>
      </c>
      <c r="B31">
        <v>0.02</v>
      </c>
      <c r="H31" s="25" t="s">
        <v>37</v>
      </c>
      <c r="I31">
        <v>4.255859375</v>
      </c>
    </row>
    <row r="32" spans="1:9">
      <c r="A32" s="25" t="s">
        <v>38</v>
      </c>
      <c r="B32">
        <v>0</v>
      </c>
      <c r="H32" s="25" t="s">
        <v>39</v>
      </c>
      <c r="I32">
        <v>0.46875</v>
      </c>
    </row>
    <row r="33" spans="1:9">
      <c r="A33" s="25" t="s">
        <v>40</v>
      </c>
      <c r="B33">
        <v>0.55000000000000004</v>
      </c>
      <c r="H33" s="25" t="s">
        <v>41</v>
      </c>
      <c r="I33">
        <v>1.0703125</v>
      </c>
    </row>
    <row r="34" spans="1:9">
      <c r="A34" s="25" t="s">
        <v>42</v>
      </c>
      <c r="B34">
        <v>7.54</v>
      </c>
      <c r="H34" s="25" t="s">
        <v>43</v>
      </c>
      <c r="I34">
        <v>0.234375</v>
      </c>
    </row>
    <row r="35" spans="1:9">
      <c r="A35" s="25" t="s">
        <v>44</v>
      </c>
      <c r="B35">
        <v>3.54</v>
      </c>
      <c r="H35" s="24" t="s">
        <v>45</v>
      </c>
      <c r="I35">
        <v>20.859375</v>
      </c>
    </row>
    <row r="36" spans="1:9">
      <c r="A36" s="25" t="s">
        <v>46</v>
      </c>
      <c r="B36">
        <v>0.01</v>
      </c>
      <c r="H36" s="25" t="s">
        <v>17</v>
      </c>
      <c r="I36">
        <v>1.8759765625</v>
      </c>
    </row>
    <row r="37" spans="1:9">
      <c r="A37" s="25" t="s">
        <v>47</v>
      </c>
      <c r="B37">
        <v>0</v>
      </c>
      <c r="H37" s="25" t="s">
        <v>48</v>
      </c>
      <c r="I37">
        <v>18.9833984375</v>
      </c>
    </row>
    <row r="38" spans="1:9">
      <c r="A38" s="25" t="s">
        <v>49</v>
      </c>
      <c r="B38">
        <v>3.89</v>
      </c>
      <c r="H38" s="24" t="s">
        <v>50</v>
      </c>
      <c r="I38">
        <v>1.390625</v>
      </c>
    </row>
    <row r="39" spans="1:9">
      <c r="A39" s="25" t="s">
        <v>51</v>
      </c>
      <c r="B39">
        <v>7.0000000000000007E-2</v>
      </c>
      <c r="H39" s="25" t="s">
        <v>52</v>
      </c>
      <c r="I39">
        <v>0.2421875</v>
      </c>
    </row>
    <row r="40" spans="1:9">
      <c r="A40" s="25" t="s">
        <v>53</v>
      </c>
      <c r="B40">
        <v>0.01</v>
      </c>
      <c r="H40" s="25" t="s">
        <v>54</v>
      </c>
      <c r="I40">
        <v>1.1484375</v>
      </c>
    </row>
    <row r="41" spans="1:9">
      <c r="A41" s="25" t="s">
        <v>55</v>
      </c>
      <c r="B41">
        <v>0.01</v>
      </c>
      <c r="H41" s="24" t="s">
        <v>56</v>
      </c>
      <c r="I41">
        <v>4.9208984375</v>
      </c>
    </row>
    <row r="42" spans="1:9">
      <c r="A42" s="25" t="s">
        <v>57</v>
      </c>
      <c r="B42">
        <v>12.96</v>
      </c>
      <c r="H42" s="25" t="s">
        <v>58</v>
      </c>
      <c r="I42">
        <v>4.9208984375</v>
      </c>
    </row>
    <row r="43" spans="1:9">
      <c r="A43" s="25" t="s">
        <v>59</v>
      </c>
      <c r="B43">
        <v>0.08</v>
      </c>
      <c r="H43" s="24" t="s">
        <v>11</v>
      </c>
      <c r="I43">
        <v>86.021484375</v>
      </c>
    </row>
    <row r="44" spans="1:9">
      <c r="A44" s="25" t="s">
        <v>60</v>
      </c>
      <c r="B44">
        <v>0.18</v>
      </c>
    </row>
    <row r="45" spans="1:9">
      <c r="A45" s="25" t="s">
        <v>61</v>
      </c>
      <c r="B45">
        <v>32.25</v>
      </c>
    </row>
    <row r="46" spans="1:9">
      <c r="A46" s="25" t="s">
        <v>62</v>
      </c>
      <c r="B46">
        <v>0.02</v>
      </c>
    </row>
    <row r="47" spans="1:9">
      <c r="A47" s="25" t="s">
        <v>63</v>
      </c>
      <c r="B47">
        <v>0</v>
      </c>
    </row>
    <row r="48" spans="1:9">
      <c r="A48" s="25" t="s">
        <v>64</v>
      </c>
      <c r="B48">
        <v>0.02</v>
      </c>
    </row>
    <row r="49" spans="1:2">
      <c r="A49" s="24" t="s">
        <v>9</v>
      </c>
      <c r="B49">
        <v>0.44000000000000006</v>
      </c>
    </row>
    <row r="50" spans="1:2">
      <c r="A50" s="25" t="s">
        <v>65</v>
      </c>
      <c r="B50">
        <v>0.01</v>
      </c>
    </row>
    <row r="51" spans="1:2">
      <c r="A51" s="25" t="s">
        <v>66</v>
      </c>
      <c r="B51">
        <v>0.04</v>
      </c>
    </row>
    <row r="52" spans="1:2">
      <c r="A52" s="25" t="s">
        <v>67</v>
      </c>
      <c r="B52">
        <v>0.03</v>
      </c>
    </row>
    <row r="53" spans="1:2">
      <c r="A53" s="25" t="s">
        <v>68</v>
      </c>
      <c r="B53">
        <v>0.02</v>
      </c>
    </row>
    <row r="54" spans="1:2">
      <c r="A54" s="25" t="s">
        <v>69</v>
      </c>
      <c r="B54">
        <v>0.34</v>
      </c>
    </row>
    <row r="55" spans="1:2">
      <c r="A55" s="25" t="s">
        <v>70</v>
      </c>
      <c r="B55">
        <v>0</v>
      </c>
    </row>
    <row r="56" spans="1:2">
      <c r="A56" s="24" t="s">
        <v>56</v>
      </c>
      <c r="B56">
        <v>5.35</v>
      </c>
    </row>
    <row r="57" spans="1:2">
      <c r="A57" s="25" t="s">
        <v>71</v>
      </c>
      <c r="B57">
        <v>5.35</v>
      </c>
    </row>
    <row r="58" spans="1:2">
      <c r="A58" s="24" t="s">
        <v>11</v>
      </c>
      <c r="B58">
        <v>135.15</v>
      </c>
    </row>
  </sheetData>
  <mergeCells count="2">
    <mergeCell ref="A1:C1"/>
    <mergeCell ref="H1:J1"/>
  </mergeCell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111B-AFAC-492F-B70D-690C3F2236E4}">
  <dimension ref="A1:K260"/>
  <sheetViews>
    <sheetView tabSelected="1" workbookViewId="0">
      <pane ySplit="1" topLeftCell="A61" activePane="bottomLeft" state="frozen"/>
      <selection pane="bottomLeft" activeCell="A8" sqref="A8"/>
    </sheetView>
  </sheetViews>
  <sheetFormatPr defaultColWidth="8.7109375" defaultRowHeight="15" customHeight="1"/>
  <cols>
    <col min="1" max="1" width="29.28515625" bestFit="1" customWidth="1"/>
    <col min="2" max="2" width="19.85546875" customWidth="1"/>
    <col min="5" max="5" width="28.42578125" style="3" customWidth="1"/>
    <col min="8" max="8" width="48.85546875" customWidth="1"/>
    <col min="9" max="9" width="17" customWidth="1"/>
    <col min="10" max="10" width="21.5703125" customWidth="1"/>
    <col min="11" max="11" width="65" customWidth="1"/>
  </cols>
  <sheetData>
    <row r="1" spans="1:11" ht="14.45">
      <c r="A1" s="1" t="s">
        <v>72</v>
      </c>
      <c r="B1" s="1" t="s">
        <v>73</v>
      </c>
      <c r="C1" s="1" t="s">
        <v>74</v>
      </c>
      <c r="D1" s="1" t="s">
        <v>75</v>
      </c>
      <c r="E1" s="2" t="s">
        <v>12</v>
      </c>
      <c r="F1" s="1" t="s">
        <v>76</v>
      </c>
      <c r="G1" s="1" t="s">
        <v>77</v>
      </c>
      <c r="H1" s="1" t="s">
        <v>78</v>
      </c>
      <c r="I1" s="28" t="s">
        <v>79</v>
      </c>
      <c r="J1" s="28" t="s">
        <v>80</v>
      </c>
      <c r="K1" s="1" t="s">
        <v>81</v>
      </c>
    </row>
    <row r="2" spans="1:11" ht="14.45" hidden="1">
      <c r="A2" s="15" t="s">
        <v>82</v>
      </c>
      <c r="B2" s="18" t="s">
        <v>83</v>
      </c>
      <c r="C2" s="18">
        <v>6917.81</v>
      </c>
      <c r="D2" s="18">
        <v>6.76</v>
      </c>
      <c r="E2" s="19" t="s">
        <v>6</v>
      </c>
      <c r="F2" s="18" t="s">
        <v>84</v>
      </c>
      <c r="G2" s="18"/>
      <c r="H2" s="20"/>
    </row>
    <row r="3" spans="1:11" ht="14.45" hidden="1">
      <c r="A3" s="15" t="s">
        <v>85</v>
      </c>
      <c r="B3" s="18" t="s">
        <v>83</v>
      </c>
      <c r="C3" s="18">
        <v>6940.75</v>
      </c>
      <c r="D3" s="18">
        <v>6.78</v>
      </c>
      <c r="E3" s="19" t="s">
        <v>6</v>
      </c>
      <c r="F3" s="18" t="s">
        <v>84</v>
      </c>
      <c r="G3" s="18"/>
      <c r="H3" s="20"/>
    </row>
    <row r="4" spans="1:11" ht="14.45" hidden="1">
      <c r="A4" s="15" t="s">
        <v>86</v>
      </c>
      <c r="B4" s="18" t="s">
        <v>83</v>
      </c>
      <c r="C4" s="18">
        <v>955.44</v>
      </c>
      <c r="D4" s="18">
        <v>0.93</v>
      </c>
      <c r="E4" s="19" t="s">
        <v>6</v>
      </c>
      <c r="F4" s="18" t="s">
        <v>84</v>
      </c>
      <c r="G4" s="18"/>
      <c r="H4" s="20"/>
    </row>
    <row r="5" spans="1:11" ht="14.45" hidden="1">
      <c r="A5" s="15" t="s">
        <v>87</v>
      </c>
      <c r="B5" s="18" t="s">
        <v>83</v>
      </c>
      <c r="C5" s="18">
        <v>84433.38</v>
      </c>
      <c r="D5" s="18">
        <v>82.45</v>
      </c>
      <c r="E5" s="19" t="s">
        <v>6</v>
      </c>
      <c r="F5" s="18" t="s">
        <v>84</v>
      </c>
      <c r="G5" s="18"/>
      <c r="H5" s="20"/>
    </row>
    <row r="6" spans="1:11" ht="14.45" hidden="1">
      <c r="A6" s="15" t="s">
        <v>88</v>
      </c>
      <c r="B6" s="18" t="s">
        <v>83</v>
      </c>
      <c r="C6" s="18">
        <v>263449</v>
      </c>
      <c r="D6" s="18">
        <v>257.27</v>
      </c>
      <c r="E6" s="19" t="s">
        <v>5</v>
      </c>
      <c r="F6" s="18"/>
      <c r="G6" s="18"/>
      <c r="H6" s="20" t="s">
        <v>89</v>
      </c>
    </row>
    <row r="7" spans="1:11" ht="14.45" hidden="1">
      <c r="A7" s="15" t="s">
        <v>90</v>
      </c>
      <c r="B7" s="18" t="s">
        <v>83</v>
      </c>
      <c r="C7" s="18">
        <v>0.81</v>
      </c>
      <c r="D7" s="18">
        <v>0</v>
      </c>
      <c r="E7" s="19" t="s">
        <v>6</v>
      </c>
      <c r="F7" s="18" t="s">
        <v>84</v>
      </c>
      <c r="G7" s="18"/>
      <c r="H7" s="20"/>
    </row>
    <row r="8" spans="1:11" ht="14.45" hidden="1">
      <c r="A8" s="15" t="s">
        <v>65</v>
      </c>
      <c r="B8" s="18" t="s">
        <v>83</v>
      </c>
      <c r="C8" s="18">
        <v>13.06</v>
      </c>
      <c r="D8" s="18">
        <v>0.01</v>
      </c>
      <c r="E8" s="19" t="s">
        <v>8</v>
      </c>
      <c r="F8" s="18" t="s">
        <v>84</v>
      </c>
      <c r="G8" s="18"/>
      <c r="H8" s="20"/>
    </row>
    <row r="9" spans="1:11" ht="14.45" hidden="1">
      <c r="A9" s="15" t="s">
        <v>91</v>
      </c>
      <c r="B9" s="18" t="s">
        <v>83</v>
      </c>
      <c r="C9" s="18">
        <v>8376.19</v>
      </c>
      <c r="D9" s="18">
        <v>8.18</v>
      </c>
      <c r="E9" s="19" t="s">
        <v>6</v>
      </c>
      <c r="F9" s="18" t="s">
        <v>92</v>
      </c>
      <c r="G9" s="18"/>
      <c r="H9" s="20"/>
    </row>
    <row r="10" spans="1:11" ht="14.45" hidden="1">
      <c r="A10" s="15" t="s">
        <v>93</v>
      </c>
      <c r="B10" s="18" t="s">
        <v>83</v>
      </c>
      <c r="C10" s="18">
        <v>0.63</v>
      </c>
      <c r="D10" s="18">
        <v>0</v>
      </c>
      <c r="E10" s="19" t="s">
        <v>5</v>
      </c>
      <c r="F10" s="18" t="s">
        <v>84</v>
      </c>
      <c r="G10" s="18"/>
      <c r="H10" s="20" t="s">
        <v>89</v>
      </c>
    </row>
    <row r="11" spans="1:11" ht="14.45" hidden="1">
      <c r="A11" s="15" t="s">
        <v>94</v>
      </c>
      <c r="B11" s="18" t="s">
        <v>83</v>
      </c>
      <c r="C11" s="18">
        <v>53826.13</v>
      </c>
      <c r="D11" s="18">
        <v>52.56</v>
      </c>
      <c r="E11" s="19" t="s">
        <v>5</v>
      </c>
      <c r="F11" s="18"/>
      <c r="G11" s="18"/>
      <c r="H11" s="20" t="s">
        <v>89</v>
      </c>
      <c r="K11" s="44" t="s">
        <v>2</v>
      </c>
    </row>
    <row r="12" spans="1:11" ht="14.45" hidden="1">
      <c r="A12" s="15" t="s">
        <v>95</v>
      </c>
      <c r="B12" s="18" t="s">
        <v>83</v>
      </c>
      <c r="C12" s="18">
        <v>155463.63</v>
      </c>
      <c r="D12" s="18">
        <v>151.82</v>
      </c>
      <c r="E12" s="19" t="s">
        <v>96</v>
      </c>
      <c r="F12" s="18"/>
      <c r="G12" s="18"/>
      <c r="H12" s="20" t="s">
        <v>97</v>
      </c>
    </row>
    <row r="13" spans="1:11" ht="14.45" hidden="1">
      <c r="A13" s="15" t="s">
        <v>98</v>
      </c>
      <c r="B13" s="18" t="s">
        <v>83</v>
      </c>
      <c r="C13" s="18">
        <v>609.94000000000005</v>
      </c>
      <c r="D13" s="18">
        <v>0.6</v>
      </c>
      <c r="E13" s="19" t="s">
        <v>6</v>
      </c>
      <c r="F13" s="18" t="s">
        <v>84</v>
      </c>
      <c r="G13" s="18"/>
      <c r="H13" s="20"/>
      <c r="I13" t="s">
        <v>99</v>
      </c>
      <c r="J13" t="s">
        <v>15</v>
      </c>
    </row>
    <row r="14" spans="1:11" ht="14.45">
      <c r="A14" s="15" t="s">
        <v>100</v>
      </c>
      <c r="B14" s="18" t="s">
        <v>83</v>
      </c>
      <c r="C14" s="18">
        <v>217.38</v>
      </c>
      <c r="D14" s="18">
        <v>0.21</v>
      </c>
      <c r="E14" s="19" t="s">
        <v>6</v>
      </c>
      <c r="F14" s="18" t="s">
        <v>101</v>
      </c>
      <c r="G14" s="18"/>
      <c r="H14" s="20" t="s">
        <v>102</v>
      </c>
    </row>
    <row r="15" spans="1:11" ht="14.45" hidden="1">
      <c r="A15" s="15" t="s">
        <v>103</v>
      </c>
      <c r="B15" s="18" t="s">
        <v>83</v>
      </c>
      <c r="C15" s="18">
        <v>6056.13</v>
      </c>
      <c r="D15" s="18">
        <v>5.91</v>
      </c>
      <c r="E15" s="19" t="s">
        <v>5</v>
      </c>
      <c r="F15" s="18"/>
      <c r="G15" s="18"/>
      <c r="H15" s="20" t="s">
        <v>104</v>
      </c>
    </row>
    <row r="16" spans="1:11" ht="14.45" hidden="1">
      <c r="A16" s="15" t="s">
        <v>105</v>
      </c>
      <c r="B16" s="18" t="s">
        <v>83</v>
      </c>
      <c r="C16" s="18">
        <v>152.88</v>
      </c>
      <c r="D16" s="18">
        <v>0.15</v>
      </c>
      <c r="E16" s="34" t="s">
        <v>6</v>
      </c>
      <c r="F16" s="18" t="s">
        <v>84</v>
      </c>
      <c r="G16" s="18"/>
      <c r="H16" s="20" t="s">
        <v>106</v>
      </c>
    </row>
    <row r="17" spans="1:11" ht="14.45" hidden="1">
      <c r="A17" s="15" t="s">
        <v>107</v>
      </c>
      <c r="B17" s="18" t="s">
        <v>83</v>
      </c>
      <c r="C17" s="18">
        <v>0.38</v>
      </c>
      <c r="D17" s="18">
        <v>0</v>
      </c>
      <c r="E17" s="19" t="s">
        <v>96</v>
      </c>
      <c r="F17" s="18"/>
      <c r="G17" s="18"/>
      <c r="H17" s="20" t="s">
        <v>97</v>
      </c>
      <c r="K17" s="49" t="s">
        <v>108</v>
      </c>
    </row>
    <row r="18" spans="1:11" ht="14.45" hidden="1">
      <c r="A18" s="15" t="s">
        <v>109</v>
      </c>
      <c r="B18" s="18" t="s">
        <v>83</v>
      </c>
      <c r="C18" s="18">
        <v>5684.69</v>
      </c>
      <c r="D18" s="18">
        <v>5.55</v>
      </c>
      <c r="E18" s="19" t="s">
        <v>5</v>
      </c>
      <c r="F18" s="18"/>
      <c r="G18" s="18"/>
      <c r="H18" s="20" t="s">
        <v>89</v>
      </c>
    </row>
    <row r="19" spans="1:11" ht="14.45" hidden="1">
      <c r="A19" s="15" t="s">
        <v>110</v>
      </c>
      <c r="B19" s="18" t="s">
        <v>83</v>
      </c>
      <c r="C19" s="18">
        <v>2835.38</v>
      </c>
      <c r="D19" s="18">
        <v>2.77</v>
      </c>
      <c r="E19" s="19" t="s">
        <v>5</v>
      </c>
      <c r="F19" s="18"/>
      <c r="G19" s="18"/>
      <c r="H19" s="20" t="s">
        <v>89</v>
      </c>
    </row>
    <row r="20" spans="1:11" ht="14.45" hidden="1">
      <c r="A20" s="15" t="s">
        <v>111</v>
      </c>
      <c r="B20" s="18" t="s">
        <v>83</v>
      </c>
      <c r="C20" s="18">
        <v>24148.880000000001</v>
      </c>
      <c r="D20" s="18">
        <v>23.58</v>
      </c>
      <c r="E20" s="19" t="s">
        <v>6</v>
      </c>
      <c r="F20" s="18" t="s">
        <v>84</v>
      </c>
      <c r="G20" s="18"/>
      <c r="H20" s="20"/>
    </row>
    <row r="21" spans="1:11" ht="14.45" hidden="1">
      <c r="A21" s="15" t="s">
        <v>112</v>
      </c>
      <c r="B21" s="18" t="s">
        <v>83</v>
      </c>
      <c r="C21" s="18">
        <v>25327.19</v>
      </c>
      <c r="D21" s="18">
        <v>24.73</v>
      </c>
      <c r="E21" s="19" t="s">
        <v>6</v>
      </c>
      <c r="F21" s="18" t="s">
        <v>84</v>
      </c>
      <c r="G21" s="18"/>
      <c r="H21" s="20"/>
    </row>
    <row r="22" spans="1:11" ht="14.45" hidden="1">
      <c r="A22" s="15" t="s">
        <v>113</v>
      </c>
      <c r="B22" s="18" t="s">
        <v>83</v>
      </c>
      <c r="C22" s="18">
        <v>31432.25</v>
      </c>
      <c r="D22" s="18">
        <v>30.7</v>
      </c>
      <c r="E22" s="19" t="s">
        <v>8</v>
      </c>
      <c r="F22" s="18" t="s">
        <v>84</v>
      </c>
      <c r="G22" s="18"/>
      <c r="H22" s="20" t="s">
        <v>114</v>
      </c>
    </row>
    <row r="23" spans="1:11" ht="14.45" hidden="1">
      <c r="A23" s="15" t="s">
        <v>115</v>
      </c>
      <c r="B23" s="18" t="s">
        <v>83</v>
      </c>
      <c r="C23" s="18">
        <v>115.38</v>
      </c>
      <c r="D23" s="18">
        <v>0.11</v>
      </c>
      <c r="E23" s="19" t="s">
        <v>6</v>
      </c>
      <c r="F23" s="18" t="s">
        <v>84</v>
      </c>
      <c r="G23" s="18"/>
      <c r="H23" s="20"/>
    </row>
    <row r="24" spans="1:11" ht="14.45" hidden="1">
      <c r="A24" s="5" t="s">
        <v>33</v>
      </c>
      <c r="B24" s="18" t="s">
        <v>83</v>
      </c>
      <c r="C24" s="6">
        <v>74.5</v>
      </c>
      <c r="D24" s="6">
        <v>7.0000000000000007E-2</v>
      </c>
      <c r="E24" s="13" t="s">
        <v>10</v>
      </c>
      <c r="F24" s="6" t="s">
        <v>116</v>
      </c>
      <c r="G24" s="6"/>
      <c r="H24" s="7" t="s">
        <v>117</v>
      </c>
      <c r="I24" s="16" t="s">
        <v>118</v>
      </c>
      <c r="J24" t="s">
        <v>31</v>
      </c>
    </row>
    <row r="25" spans="1:11" ht="14.45" hidden="1">
      <c r="A25" s="15" t="s">
        <v>119</v>
      </c>
      <c r="B25" s="18" t="s">
        <v>83</v>
      </c>
      <c r="C25" s="18">
        <v>22.31</v>
      </c>
      <c r="D25" s="18">
        <v>0.02</v>
      </c>
      <c r="E25" s="19" t="s">
        <v>5</v>
      </c>
      <c r="F25" s="30" t="s">
        <v>116</v>
      </c>
      <c r="G25" s="30"/>
      <c r="H25" s="31" t="s">
        <v>120</v>
      </c>
      <c r="I25" t="s">
        <v>121</v>
      </c>
      <c r="J25" t="s">
        <v>31</v>
      </c>
    </row>
    <row r="26" spans="1:11" ht="14.45" hidden="1">
      <c r="A26" s="8" t="s">
        <v>122</v>
      </c>
      <c r="B26" s="18" t="s">
        <v>83</v>
      </c>
      <c r="C26" s="9">
        <v>260</v>
      </c>
      <c r="D26" s="9">
        <v>0.25</v>
      </c>
      <c r="E26" s="14" t="s">
        <v>6</v>
      </c>
      <c r="F26" s="9" t="s">
        <v>116</v>
      </c>
      <c r="G26" s="9"/>
      <c r="H26" s="10"/>
      <c r="I26" s="17"/>
    </row>
    <row r="27" spans="1:11" ht="14.45" hidden="1">
      <c r="A27" s="15" t="s">
        <v>123</v>
      </c>
      <c r="B27" s="18" t="s">
        <v>83</v>
      </c>
      <c r="C27" s="18">
        <v>53188.63</v>
      </c>
      <c r="D27" s="18">
        <v>51.94</v>
      </c>
      <c r="E27" s="19" t="s">
        <v>6</v>
      </c>
      <c r="F27" s="18" t="s">
        <v>84</v>
      </c>
      <c r="G27" s="18"/>
      <c r="H27" s="20"/>
    </row>
    <row r="28" spans="1:11" ht="14.45" hidden="1">
      <c r="A28" s="15" t="s">
        <v>124</v>
      </c>
      <c r="B28" s="18" t="s">
        <v>83</v>
      </c>
      <c r="C28" s="18">
        <v>112386.25</v>
      </c>
      <c r="D28" s="18">
        <v>109.75</v>
      </c>
      <c r="E28" s="19" t="s">
        <v>6</v>
      </c>
      <c r="F28" s="18" t="s">
        <v>125</v>
      </c>
      <c r="G28" s="18"/>
      <c r="H28" s="20"/>
    </row>
    <row r="29" spans="1:11" ht="14.45" hidden="1">
      <c r="A29" s="11" t="s">
        <v>35</v>
      </c>
      <c r="B29" s="18" t="s">
        <v>83</v>
      </c>
      <c r="C29" s="6">
        <v>4.1900000000000004</v>
      </c>
      <c r="D29" s="6">
        <v>0</v>
      </c>
      <c r="E29" s="13" t="s">
        <v>10</v>
      </c>
      <c r="F29" s="6" t="s">
        <v>116</v>
      </c>
      <c r="G29" s="6"/>
      <c r="H29" s="7" t="s">
        <v>117</v>
      </c>
      <c r="I29" s="16" t="s">
        <v>126</v>
      </c>
      <c r="J29" t="s">
        <v>31</v>
      </c>
    </row>
    <row r="30" spans="1:11" ht="14.45" hidden="1">
      <c r="A30" s="15" t="s">
        <v>127</v>
      </c>
      <c r="B30" s="18" t="s">
        <v>83</v>
      </c>
      <c r="C30" s="18">
        <v>2318.13</v>
      </c>
      <c r="D30" s="18">
        <v>2.2599999999999998</v>
      </c>
      <c r="E30" s="19" t="s">
        <v>5</v>
      </c>
      <c r="F30" s="18"/>
      <c r="G30" s="18"/>
      <c r="H30" s="20" t="s">
        <v>89</v>
      </c>
    </row>
    <row r="31" spans="1:11" ht="14.45">
      <c r="A31" s="15" t="s">
        <v>128</v>
      </c>
      <c r="B31" s="18" t="s">
        <v>83</v>
      </c>
      <c r="C31" s="18">
        <v>1087.19</v>
      </c>
      <c r="D31" s="18">
        <v>1.06</v>
      </c>
      <c r="E31" s="19" t="s">
        <v>5</v>
      </c>
      <c r="F31" s="30" t="s">
        <v>101</v>
      </c>
      <c r="G31" s="30"/>
      <c r="H31" s="31" t="s">
        <v>120</v>
      </c>
      <c r="I31" t="s">
        <v>129</v>
      </c>
      <c r="J31" t="s">
        <v>130</v>
      </c>
    </row>
    <row r="32" spans="1:11" ht="14.45" hidden="1">
      <c r="A32" s="15" t="s">
        <v>131</v>
      </c>
      <c r="B32" s="18" t="s">
        <v>83</v>
      </c>
      <c r="C32" s="18">
        <v>1792.5</v>
      </c>
      <c r="D32" s="18">
        <v>1.75</v>
      </c>
      <c r="E32" s="19" t="s">
        <v>5</v>
      </c>
      <c r="F32" s="18"/>
      <c r="G32" s="18"/>
      <c r="H32" s="20" t="s">
        <v>89</v>
      </c>
      <c r="K32" s="44" t="s">
        <v>132</v>
      </c>
    </row>
    <row r="33" spans="1:11" ht="14.45" hidden="1">
      <c r="A33" s="8" t="s">
        <v>133</v>
      </c>
      <c r="B33" s="18" t="s">
        <v>83</v>
      </c>
      <c r="C33" s="9">
        <v>415.06</v>
      </c>
      <c r="D33" s="9">
        <v>0.41</v>
      </c>
      <c r="E33" s="14" t="s">
        <v>6</v>
      </c>
      <c r="F33" s="9" t="s">
        <v>116</v>
      </c>
      <c r="G33" s="9"/>
      <c r="H33" s="10"/>
      <c r="I33" s="17"/>
    </row>
    <row r="34" spans="1:11" ht="14.45" hidden="1">
      <c r="A34" s="5" t="s">
        <v>66</v>
      </c>
      <c r="B34" s="18" t="s">
        <v>83</v>
      </c>
      <c r="C34" s="6">
        <v>38.06</v>
      </c>
      <c r="D34" s="6">
        <v>0.04</v>
      </c>
      <c r="E34" s="13" t="s">
        <v>10</v>
      </c>
      <c r="F34" s="6" t="s">
        <v>116</v>
      </c>
      <c r="G34" s="6"/>
      <c r="H34" s="7" t="s">
        <v>134</v>
      </c>
      <c r="I34" s="16"/>
    </row>
    <row r="35" spans="1:11" ht="14.45" hidden="1">
      <c r="A35" s="8" t="s">
        <v>67</v>
      </c>
      <c r="B35" s="18" t="s">
        <v>83</v>
      </c>
      <c r="C35" s="9">
        <v>28.31</v>
      </c>
      <c r="D35" s="9">
        <v>0.03</v>
      </c>
      <c r="E35" s="13" t="s">
        <v>10</v>
      </c>
      <c r="F35" s="9" t="s">
        <v>116</v>
      </c>
      <c r="G35" s="9"/>
      <c r="H35" s="10" t="s">
        <v>135</v>
      </c>
      <c r="I35" s="17"/>
    </row>
    <row r="36" spans="1:11" ht="14.45" hidden="1">
      <c r="A36" s="5" t="s">
        <v>68</v>
      </c>
      <c r="B36" s="18" t="s">
        <v>83</v>
      </c>
      <c r="C36" s="6">
        <v>23</v>
      </c>
      <c r="D36" s="6">
        <v>0.02</v>
      </c>
      <c r="E36" s="13" t="s">
        <v>10</v>
      </c>
      <c r="F36" s="6" t="s">
        <v>116</v>
      </c>
      <c r="G36" s="6"/>
      <c r="H36" s="7" t="s">
        <v>135</v>
      </c>
      <c r="I36" s="16"/>
    </row>
    <row r="37" spans="1:11" ht="14.45" hidden="1">
      <c r="A37" s="15" t="s">
        <v>136</v>
      </c>
      <c r="B37" s="18" t="s">
        <v>83</v>
      </c>
      <c r="C37" s="18">
        <v>242.69</v>
      </c>
      <c r="D37" s="18">
        <v>0.24</v>
      </c>
      <c r="E37" s="19" t="s">
        <v>6</v>
      </c>
      <c r="F37" s="18" t="s">
        <v>84</v>
      </c>
      <c r="G37" s="18"/>
      <c r="H37" s="20" t="s">
        <v>137</v>
      </c>
    </row>
    <row r="38" spans="1:11" ht="14.45" hidden="1">
      <c r="A38" s="8" t="s">
        <v>36</v>
      </c>
      <c r="B38" s="18" t="s">
        <v>83</v>
      </c>
      <c r="C38" s="9">
        <v>18.940000000000001</v>
      </c>
      <c r="D38" s="9">
        <v>0.02</v>
      </c>
      <c r="E38" s="13" t="s">
        <v>10</v>
      </c>
      <c r="F38" s="9" t="s">
        <v>116</v>
      </c>
      <c r="G38" s="9"/>
      <c r="H38" s="10" t="s">
        <v>117</v>
      </c>
      <c r="I38" s="17" t="s">
        <v>138</v>
      </c>
      <c r="J38" t="s">
        <v>31</v>
      </c>
    </row>
    <row r="39" spans="1:11" ht="14.45" hidden="1">
      <c r="A39" s="5" t="s">
        <v>38</v>
      </c>
      <c r="B39" s="18" t="s">
        <v>83</v>
      </c>
      <c r="C39" s="6">
        <v>1.5</v>
      </c>
      <c r="D39" s="6">
        <v>0</v>
      </c>
      <c r="E39" s="13" t="s">
        <v>10</v>
      </c>
      <c r="F39" s="6" t="s">
        <v>116</v>
      </c>
      <c r="G39" s="6"/>
      <c r="H39" s="7" t="s">
        <v>117</v>
      </c>
      <c r="I39" s="16" t="s">
        <v>139</v>
      </c>
      <c r="J39" t="s">
        <v>31</v>
      </c>
    </row>
    <row r="40" spans="1:11" ht="14.45" hidden="1">
      <c r="A40" s="15" t="s">
        <v>140</v>
      </c>
      <c r="B40" s="18" t="s">
        <v>83</v>
      </c>
      <c r="C40" s="18">
        <v>1741.44</v>
      </c>
      <c r="D40" s="18">
        <v>1.7</v>
      </c>
      <c r="E40" s="19" t="s">
        <v>5</v>
      </c>
      <c r="F40" s="18"/>
      <c r="G40" s="18"/>
      <c r="H40" s="20" t="s">
        <v>89</v>
      </c>
    </row>
    <row r="41" spans="1:11" ht="14.45" hidden="1">
      <c r="A41" s="15" t="s">
        <v>16</v>
      </c>
      <c r="B41" s="18" t="s">
        <v>83</v>
      </c>
      <c r="C41" s="18">
        <v>2.31</v>
      </c>
      <c r="D41" s="18">
        <v>0</v>
      </c>
      <c r="E41" s="19" t="s">
        <v>8</v>
      </c>
      <c r="F41" s="18" t="s">
        <v>84</v>
      </c>
      <c r="G41" s="18"/>
      <c r="H41" s="20" t="s">
        <v>141</v>
      </c>
      <c r="I41" t="s">
        <v>142</v>
      </c>
      <c r="J41" t="s">
        <v>15</v>
      </c>
    </row>
    <row r="42" spans="1:11" ht="14.45" hidden="1">
      <c r="A42" s="15" t="s">
        <v>143</v>
      </c>
      <c r="B42" s="18" t="s">
        <v>83</v>
      </c>
      <c r="C42" s="18">
        <v>824146</v>
      </c>
      <c r="D42" s="18">
        <v>804.83</v>
      </c>
      <c r="E42" s="19" t="s">
        <v>6</v>
      </c>
      <c r="F42" s="18" t="s">
        <v>84</v>
      </c>
      <c r="G42" s="18"/>
      <c r="H42" s="20"/>
    </row>
    <row r="43" spans="1:11" ht="14.45" hidden="1">
      <c r="A43" s="15" t="s">
        <v>144</v>
      </c>
      <c r="B43" s="18" t="s">
        <v>83</v>
      </c>
      <c r="C43" s="18">
        <v>69714.5</v>
      </c>
      <c r="D43" s="18">
        <v>68.08</v>
      </c>
      <c r="E43" s="19" t="s">
        <v>6</v>
      </c>
      <c r="F43" s="18" t="s">
        <v>84</v>
      </c>
      <c r="G43" s="18"/>
      <c r="H43" s="20"/>
    </row>
    <row r="44" spans="1:11" ht="17.25" hidden="1" customHeight="1">
      <c r="A44" s="15" t="s">
        <v>18</v>
      </c>
      <c r="B44" s="18" t="s">
        <v>83</v>
      </c>
      <c r="C44" s="18">
        <v>290.31</v>
      </c>
      <c r="D44" s="18">
        <v>0.28000000000000003</v>
      </c>
      <c r="E44" s="19" t="s">
        <v>8</v>
      </c>
      <c r="F44" s="18" t="s">
        <v>84</v>
      </c>
      <c r="G44" s="18"/>
      <c r="H44" s="20" t="s">
        <v>145</v>
      </c>
      <c r="I44" s="4" t="s">
        <v>146</v>
      </c>
      <c r="J44" t="s">
        <v>15</v>
      </c>
    </row>
    <row r="45" spans="1:11" ht="14.45" hidden="1">
      <c r="A45" s="15" t="s">
        <v>147</v>
      </c>
      <c r="B45" s="18" t="s">
        <v>83</v>
      </c>
      <c r="C45" s="18">
        <v>5352.25</v>
      </c>
      <c r="D45" s="18">
        <v>5.23</v>
      </c>
      <c r="E45" s="19" t="s">
        <v>6</v>
      </c>
      <c r="F45" s="18" t="s">
        <v>84</v>
      </c>
      <c r="G45" s="18"/>
      <c r="H45" s="20"/>
    </row>
    <row r="46" spans="1:11" ht="43.5" hidden="1">
      <c r="A46" s="8" t="s">
        <v>40</v>
      </c>
      <c r="B46" s="18" t="s">
        <v>83</v>
      </c>
      <c r="C46" s="9">
        <v>564.44000000000005</v>
      </c>
      <c r="D46" s="9">
        <v>0.55000000000000004</v>
      </c>
      <c r="E46" s="13" t="s">
        <v>10</v>
      </c>
      <c r="F46" s="9" t="s">
        <v>116</v>
      </c>
      <c r="G46" s="9"/>
      <c r="H46" s="12" t="s">
        <v>148</v>
      </c>
      <c r="I46" s="27" t="s">
        <v>149</v>
      </c>
      <c r="J46" t="s">
        <v>31</v>
      </c>
    </row>
    <row r="47" spans="1:11" ht="14.45" hidden="1">
      <c r="A47" s="15" t="s">
        <v>150</v>
      </c>
      <c r="B47" s="18" t="s">
        <v>83</v>
      </c>
      <c r="C47" s="18">
        <v>766.88</v>
      </c>
      <c r="D47" s="18">
        <v>0.75</v>
      </c>
      <c r="E47" s="19" t="s">
        <v>5</v>
      </c>
      <c r="F47" s="18"/>
      <c r="G47" s="18"/>
      <c r="H47" s="20" t="s">
        <v>89</v>
      </c>
      <c r="K47" s="44" t="s">
        <v>151</v>
      </c>
    </row>
    <row r="48" spans="1:11" ht="14.45" hidden="1">
      <c r="A48" s="5" t="s">
        <v>152</v>
      </c>
      <c r="B48" s="18" t="s">
        <v>83</v>
      </c>
      <c r="C48" s="6">
        <v>207897.4</v>
      </c>
      <c r="D48" s="6">
        <v>203.02</v>
      </c>
      <c r="E48" s="13" t="s">
        <v>6</v>
      </c>
      <c r="F48" s="6" t="s">
        <v>116</v>
      </c>
      <c r="G48" s="6"/>
      <c r="H48" s="7"/>
      <c r="I48" s="16"/>
    </row>
    <row r="49" spans="1:11" ht="14.45" hidden="1">
      <c r="A49" s="8" t="s">
        <v>42</v>
      </c>
      <c r="B49" s="18" t="s">
        <v>83</v>
      </c>
      <c r="C49" s="9">
        <v>7716.25</v>
      </c>
      <c r="D49" s="9">
        <v>7.54</v>
      </c>
      <c r="E49" s="14" t="s">
        <v>8</v>
      </c>
      <c r="F49" s="9" t="s">
        <v>116</v>
      </c>
      <c r="G49" s="9"/>
      <c r="H49" s="10"/>
      <c r="I49" s="17" t="s">
        <v>153</v>
      </c>
      <c r="J49" t="s">
        <v>31</v>
      </c>
    </row>
    <row r="50" spans="1:11" ht="14.45" hidden="1">
      <c r="A50" s="5" t="s">
        <v>44</v>
      </c>
      <c r="B50" s="18" t="s">
        <v>83</v>
      </c>
      <c r="C50" s="6">
        <v>3623.75</v>
      </c>
      <c r="D50" s="6">
        <v>3.54</v>
      </c>
      <c r="E50" s="13" t="s">
        <v>8</v>
      </c>
      <c r="F50" s="6" t="s">
        <v>116</v>
      </c>
      <c r="G50" s="6"/>
      <c r="H50" s="7"/>
      <c r="I50" s="17" t="s">
        <v>153</v>
      </c>
      <c r="J50" t="s">
        <v>31</v>
      </c>
    </row>
    <row r="51" spans="1:11" ht="14.45" hidden="1">
      <c r="A51" s="8" t="s">
        <v>154</v>
      </c>
      <c r="B51" s="18" t="s">
        <v>83</v>
      </c>
      <c r="C51" s="9">
        <v>11300</v>
      </c>
      <c r="D51" s="9">
        <v>11.04</v>
      </c>
      <c r="E51" s="14" t="s">
        <v>6</v>
      </c>
      <c r="F51" s="9" t="s">
        <v>116</v>
      </c>
      <c r="G51" s="9"/>
      <c r="H51" s="10"/>
      <c r="I51" s="17"/>
    </row>
    <row r="52" spans="1:11" ht="14.45" hidden="1">
      <c r="A52" s="15" t="s">
        <v>155</v>
      </c>
      <c r="B52" s="18" t="s">
        <v>83</v>
      </c>
      <c r="C52" s="18">
        <v>858.63</v>
      </c>
      <c r="D52" s="18">
        <v>0.84</v>
      </c>
      <c r="E52" s="19" t="s">
        <v>6</v>
      </c>
      <c r="F52" s="18" t="s">
        <v>84</v>
      </c>
      <c r="G52" s="18"/>
      <c r="H52" s="20"/>
    </row>
    <row r="53" spans="1:11" ht="14.45" hidden="1">
      <c r="A53" s="15" t="s">
        <v>156</v>
      </c>
      <c r="B53" s="18" t="s">
        <v>83</v>
      </c>
      <c r="C53" s="18">
        <v>0.25</v>
      </c>
      <c r="D53" s="18">
        <v>0</v>
      </c>
      <c r="E53" s="19" t="s">
        <v>6</v>
      </c>
      <c r="F53" s="18" t="s">
        <v>84</v>
      </c>
      <c r="G53" s="18"/>
      <c r="H53" s="20"/>
    </row>
    <row r="54" spans="1:11" ht="14.45" hidden="1">
      <c r="A54" s="15" t="s">
        <v>157</v>
      </c>
      <c r="B54" s="18" t="s">
        <v>83</v>
      </c>
      <c r="C54" s="18">
        <v>399</v>
      </c>
      <c r="D54" s="18">
        <v>0.39</v>
      </c>
      <c r="E54" s="19" t="s">
        <v>6</v>
      </c>
      <c r="F54" s="18" t="s">
        <v>84</v>
      </c>
      <c r="G54" s="18"/>
      <c r="H54" s="20"/>
    </row>
    <row r="55" spans="1:11" ht="14.45" hidden="1">
      <c r="A55" s="15" t="s">
        <v>69</v>
      </c>
      <c r="B55" s="18" t="s">
        <v>83</v>
      </c>
      <c r="C55" s="18">
        <v>345.81</v>
      </c>
      <c r="D55" s="18">
        <v>0.34</v>
      </c>
      <c r="E55" s="19" t="s">
        <v>8</v>
      </c>
      <c r="F55" s="18" t="s">
        <v>125</v>
      </c>
      <c r="G55" s="18"/>
      <c r="H55" s="20" t="s">
        <v>158</v>
      </c>
    </row>
    <row r="56" spans="1:11" ht="14.45" hidden="1">
      <c r="A56" s="15" t="s">
        <v>71</v>
      </c>
      <c r="B56" s="18" t="s">
        <v>83</v>
      </c>
      <c r="C56" s="18">
        <v>5479.81</v>
      </c>
      <c r="D56" s="18">
        <v>5.35</v>
      </c>
      <c r="E56" s="19" t="s">
        <v>8</v>
      </c>
      <c r="F56" s="18" t="s">
        <v>159</v>
      </c>
      <c r="G56" s="18"/>
      <c r="H56" s="20"/>
      <c r="I56" t="s">
        <v>160</v>
      </c>
      <c r="J56" t="s">
        <v>56</v>
      </c>
    </row>
    <row r="57" spans="1:11" ht="14.45" hidden="1">
      <c r="A57" s="15" t="s">
        <v>161</v>
      </c>
      <c r="B57" s="18" t="s">
        <v>83</v>
      </c>
      <c r="C57" s="18">
        <v>684.13</v>
      </c>
      <c r="D57" s="18">
        <v>0.67</v>
      </c>
      <c r="E57" s="19" t="s">
        <v>5</v>
      </c>
      <c r="F57" s="18"/>
      <c r="G57" s="18"/>
      <c r="H57" s="20" t="s">
        <v>89</v>
      </c>
      <c r="K57" s="44" t="s">
        <v>162</v>
      </c>
    </row>
    <row r="58" spans="1:11" ht="14.45" hidden="1">
      <c r="A58" s="15" t="s">
        <v>163</v>
      </c>
      <c r="B58" s="18" t="s">
        <v>83</v>
      </c>
      <c r="C58" s="18">
        <v>600.75</v>
      </c>
      <c r="D58" s="18">
        <v>0.59</v>
      </c>
      <c r="E58" s="19" t="s">
        <v>5</v>
      </c>
      <c r="F58" s="18"/>
      <c r="G58" s="18"/>
      <c r="H58" s="20" t="s">
        <v>89</v>
      </c>
      <c r="K58" s="44" t="s">
        <v>164</v>
      </c>
    </row>
    <row r="59" spans="1:11" ht="14.45" hidden="1">
      <c r="A59" s="15" t="s">
        <v>165</v>
      </c>
      <c r="B59" s="18" t="s">
        <v>83</v>
      </c>
      <c r="C59" s="18">
        <v>377.06</v>
      </c>
      <c r="D59" s="18">
        <v>0.37</v>
      </c>
      <c r="E59" s="19" t="s">
        <v>6</v>
      </c>
      <c r="F59" s="18" t="s">
        <v>84</v>
      </c>
      <c r="G59" s="18"/>
      <c r="H59" s="20"/>
    </row>
    <row r="60" spans="1:11" ht="14.45" hidden="1">
      <c r="A60" s="5" t="s">
        <v>166</v>
      </c>
      <c r="B60" s="18" t="s">
        <v>83</v>
      </c>
      <c r="C60" s="6">
        <v>10</v>
      </c>
      <c r="D60" s="6">
        <v>0.01</v>
      </c>
      <c r="E60" s="13" t="s">
        <v>6</v>
      </c>
      <c r="F60" s="6" t="s">
        <v>116</v>
      </c>
      <c r="G60" s="6"/>
      <c r="H60" s="7"/>
      <c r="I60" s="16"/>
    </row>
    <row r="61" spans="1:11" ht="14.45" hidden="1">
      <c r="A61" t="s">
        <v>167</v>
      </c>
      <c r="B61" s="18" t="s">
        <v>83</v>
      </c>
      <c r="C61">
        <v>1.1299999999999999</v>
      </c>
      <c r="D61">
        <v>0</v>
      </c>
      <c r="E61" s="19" t="s">
        <v>5</v>
      </c>
      <c r="F61" s="32" t="s">
        <v>159</v>
      </c>
      <c r="G61" s="32"/>
      <c r="H61" s="20" t="s">
        <v>89</v>
      </c>
      <c r="I61" t="s">
        <v>168</v>
      </c>
      <c r="J61" t="s">
        <v>50</v>
      </c>
    </row>
    <row r="62" spans="1:11" ht="14.45" hidden="1">
      <c r="A62" t="s">
        <v>169</v>
      </c>
      <c r="B62" s="18" t="s">
        <v>83</v>
      </c>
      <c r="C62">
        <v>483.19</v>
      </c>
      <c r="D62">
        <v>0.47</v>
      </c>
      <c r="E62" s="19" t="s">
        <v>5</v>
      </c>
      <c r="H62" s="20" t="s">
        <v>89</v>
      </c>
    </row>
    <row r="63" spans="1:11" ht="14.45" hidden="1">
      <c r="A63" t="s">
        <v>170</v>
      </c>
      <c r="B63" s="18" t="s">
        <v>83</v>
      </c>
      <c r="C63">
        <v>325.69</v>
      </c>
      <c r="D63">
        <v>0.32</v>
      </c>
      <c r="E63" s="19" t="s">
        <v>5</v>
      </c>
      <c r="H63" s="20" t="s">
        <v>89</v>
      </c>
    </row>
    <row r="64" spans="1:11" ht="14.45" hidden="1">
      <c r="A64" t="s">
        <v>171</v>
      </c>
      <c r="B64" s="18" t="s">
        <v>83</v>
      </c>
      <c r="C64">
        <v>310.56</v>
      </c>
      <c r="D64">
        <v>0.3</v>
      </c>
      <c r="E64" s="19" t="s">
        <v>5</v>
      </c>
      <c r="H64" s="20" t="s">
        <v>89</v>
      </c>
    </row>
    <row r="65" spans="1:11" ht="14.45" hidden="1">
      <c r="A65" t="s">
        <v>172</v>
      </c>
      <c r="B65" s="18" t="s">
        <v>83</v>
      </c>
      <c r="C65">
        <v>304.38</v>
      </c>
      <c r="D65">
        <v>0.3</v>
      </c>
      <c r="E65" s="19" t="s">
        <v>5</v>
      </c>
      <c r="H65" s="20" t="s">
        <v>89</v>
      </c>
    </row>
    <row r="66" spans="1:11" ht="14.45" hidden="1">
      <c r="A66" t="s">
        <v>173</v>
      </c>
      <c r="B66" s="18" t="s">
        <v>83</v>
      </c>
      <c r="C66">
        <v>2.13</v>
      </c>
      <c r="D66">
        <v>0</v>
      </c>
      <c r="E66" s="3" t="s">
        <v>6</v>
      </c>
      <c r="F66" t="s">
        <v>84</v>
      </c>
    </row>
    <row r="67" spans="1:11" ht="14.45" hidden="1">
      <c r="A67" t="s">
        <v>174</v>
      </c>
      <c r="B67" s="18" t="s">
        <v>83</v>
      </c>
      <c r="C67">
        <v>432.56</v>
      </c>
      <c r="D67">
        <v>0.42</v>
      </c>
      <c r="E67" s="3" t="s">
        <v>6</v>
      </c>
      <c r="F67" t="s">
        <v>84</v>
      </c>
    </row>
    <row r="68" spans="1:11" ht="14.45" hidden="1">
      <c r="A68" t="s">
        <v>175</v>
      </c>
      <c r="B68" s="18" t="s">
        <v>83</v>
      </c>
      <c r="C68">
        <v>2014389.06</v>
      </c>
      <c r="D68">
        <v>1967.18</v>
      </c>
      <c r="E68" s="3" t="s">
        <v>6</v>
      </c>
      <c r="F68" t="s">
        <v>84</v>
      </c>
    </row>
    <row r="69" spans="1:11" ht="14.45" hidden="1">
      <c r="A69" t="s">
        <v>176</v>
      </c>
      <c r="B69" s="18" t="s">
        <v>83</v>
      </c>
      <c r="C69">
        <v>296.69</v>
      </c>
      <c r="D69">
        <v>0.28999999999999998</v>
      </c>
      <c r="E69" s="19" t="s">
        <v>5</v>
      </c>
      <c r="H69" s="20" t="s">
        <v>89</v>
      </c>
      <c r="K69" s="44" t="s">
        <v>177</v>
      </c>
    </row>
    <row r="70" spans="1:11" ht="14.45" hidden="1">
      <c r="A70" t="s">
        <v>178</v>
      </c>
      <c r="B70" s="18" t="s">
        <v>83</v>
      </c>
      <c r="C70">
        <v>208.31</v>
      </c>
      <c r="D70">
        <v>0.2</v>
      </c>
      <c r="E70" s="19" t="s">
        <v>5</v>
      </c>
      <c r="H70" s="20" t="s">
        <v>89</v>
      </c>
    </row>
    <row r="71" spans="1:11" ht="14.45" hidden="1">
      <c r="A71" s="17" t="s">
        <v>179</v>
      </c>
      <c r="B71" s="18" t="s">
        <v>83</v>
      </c>
      <c r="C71" s="17">
        <v>770.94</v>
      </c>
      <c r="D71" s="17">
        <v>0.75</v>
      </c>
      <c r="E71" s="54" t="s">
        <v>6</v>
      </c>
      <c r="F71" s="17" t="s">
        <v>116</v>
      </c>
      <c r="G71" s="17"/>
      <c r="H71" s="17"/>
      <c r="I71" s="17"/>
    </row>
    <row r="72" spans="1:11" ht="14.45" hidden="1">
      <c r="A72" t="s">
        <v>180</v>
      </c>
      <c r="B72" s="18" t="s">
        <v>83</v>
      </c>
      <c r="C72">
        <v>8907.8799999999992</v>
      </c>
      <c r="D72">
        <v>8.6999999999999993</v>
      </c>
      <c r="E72" s="3" t="s">
        <v>6</v>
      </c>
      <c r="F72" t="s">
        <v>159</v>
      </c>
      <c r="H72" t="s">
        <v>181</v>
      </c>
    </row>
    <row r="73" spans="1:11" ht="14.45" hidden="1">
      <c r="A73" t="s">
        <v>182</v>
      </c>
      <c r="B73" s="18" t="s">
        <v>83</v>
      </c>
      <c r="C73">
        <v>181.25</v>
      </c>
      <c r="D73">
        <v>0.18</v>
      </c>
      <c r="E73" s="19" t="s">
        <v>5</v>
      </c>
      <c r="H73" s="20" t="s">
        <v>89</v>
      </c>
    </row>
    <row r="74" spans="1:11" ht="14.45" hidden="1">
      <c r="A74" t="s">
        <v>183</v>
      </c>
      <c r="B74" s="18" t="s">
        <v>83</v>
      </c>
      <c r="C74">
        <v>169</v>
      </c>
      <c r="D74">
        <v>0.17</v>
      </c>
      <c r="E74" s="19" t="s">
        <v>5</v>
      </c>
      <c r="H74" s="20" t="s">
        <v>89</v>
      </c>
    </row>
    <row r="75" spans="1:11" ht="14.45" hidden="1">
      <c r="A75" s="16" t="s">
        <v>184</v>
      </c>
      <c r="B75" s="18" t="s">
        <v>83</v>
      </c>
      <c r="C75" s="16">
        <v>132.88</v>
      </c>
      <c r="D75" s="16">
        <v>0.13</v>
      </c>
      <c r="E75" s="55" t="s">
        <v>6</v>
      </c>
      <c r="F75" s="16" t="s">
        <v>116</v>
      </c>
      <c r="G75" s="16"/>
      <c r="H75" s="16"/>
      <c r="I75" s="16"/>
    </row>
    <row r="76" spans="1:11" ht="14.45" hidden="1">
      <c r="A76" t="s">
        <v>185</v>
      </c>
      <c r="B76" s="18" t="s">
        <v>83</v>
      </c>
      <c r="C76">
        <v>118.19</v>
      </c>
      <c r="D76">
        <v>0.12</v>
      </c>
      <c r="E76" s="19" t="s">
        <v>5</v>
      </c>
      <c r="H76" t="s">
        <v>89</v>
      </c>
      <c r="K76" s="44" t="s">
        <v>186</v>
      </c>
    </row>
    <row r="77" spans="1:11" ht="14.45" hidden="1">
      <c r="A77" t="s">
        <v>187</v>
      </c>
      <c r="B77" s="18" t="s">
        <v>83</v>
      </c>
      <c r="C77">
        <v>1688.69</v>
      </c>
      <c r="D77">
        <v>1.65</v>
      </c>
      <c r="E77" s="3" t="s">
        <v>6</v>
      </c>
      <c r="F77" t="s">
        <v>84</v>
      </c>
    </row>
    <row r="78" spans="1:11" ht="14.45" hidden="1">
      <c r="A78" t="s">
        <v>188</v>
      </c>
      <c r="B78" s="18" t="s">
        <v>83</v>
      </c>
      <c r="C78">
        <v>1794.19</v>
      </c>
      <c r="D78">
        <v>1.75</v>
      </c>
      <c r="E78" s="19" t="s">
        <v>6</v>
      </c>
      <c r="F78" s="32" t="s">
        <v>159</v>
      </c>
      <c r="G78" s="32"/>
      <c r="I78" t="s">
        <v>189</v>
      </c>
      <c r="J78" t="s">
        <v>15</v>
      </c>
    </row>
    <row r="79" spans="1:11" ht="14.45" hidden="1">
      <c r="A79" s="17" t="s">
        <v>190</v>
      </c>
      <c r="B79" s="18" t="s">
        <v>83</v>
      </c>
      <c r="C79" s="17">
        <v>3724.06</v>
      </c>
      <c r="D79" s="17">
        <v>3.64</v>
      </c>
      <c r="E79" s="54" t="s">
        <v>6</v>
      </c>
      <c r="F79" s="17" t="s">
        <v>116</v>
      </c>
      <c r="G79" s="17"/>
      <c r="H79" s="17"/>
      <c r="I79" s="17"/>
    </row>
    <row r="80" spans="1:11" ht="14.45" hidden="1">
      <c r="A80" s="16" t="s">
        <v>191</v>
      </c>
      <c r="B80" s="18" t="s">
        <v>83</v>
      </c>
      <c r="C80" s="16">
        <v>0.69</v>
      </c>
      <c r="D80" s="16">
        <v>0</v>
      </c>
      <c r="E80" s="55" t="s">
        <v>6</v>
      </c>
      <c r="F80" s="16" t="s">
        <v>116</v>
      </c>
      <c r="G80" s="16"/>
      <c r="H80" s="16"/>
      <c r="I80" s="16"/>
    </row>
    <row r="81" spans="1:11" ht="14.45" hidden="1">
      <c r="A81" s="17" t="s">
        <v>192</v>
      </c>
      <c r="B81" s="18" t="s">
        <v>83</v>
      </c>
      <c r="C81" s="17">
        <v>12105.63</v>
      </c>
      <c r="D81" s="17">
        <v>11.82</v>
      </c>
      <c r="E81" s="54" t="s">
        <v>6</v>
      </c>
      <c r="F81" s="17" t="s">
        <v>116</v>
      </c>
      <c r="G81" s="17"/>
      <c r="H81" s="17"/>
      <c r="I81" s="17"/>
    </row>
    <row r="82" spans="1:11" ht="14.45" hidden="1">
      <c r="A82" t="s">
        <v>193</v>
      </c>
      <c r="B82" s="18" t="s">
        <v>83</v>
      </c>
      <c r="C82">
        <v>111.88</v>
      </c>
      <c r="D82">
        <v>0.11</v>
      </c>
      <c r="E82" s="19" t="s">
        <v>5</v>
      </c>
      <c r="H82" s="20" t="s">
        <v>89</v>
      </c>
    </row>
    <row r="83" spans="1:11" ht="14.45" hidden="1">
      <c r="A83" t="s">
        <v>194</v>
      </c>
      <c r="B83" s="18" t="s">
        <v>83</v>
      </c>
      <c r="C83">
        <v>312449.13</v>
      </c>
      <c r="D83">
        <v>305.13</v>
      </c>
      <c r="E83" s="3" t="s">
        <v>6</v>
      </c>
      <c r="F83" t="s">
        <v>84</v>
      </c>
    </row>
    <row r="84" spans="1:11" ht="14.45" hidden="1">
      <c r="A84" t="s">
        <v>195</v>
      </c>
      <c r="B84" s="18" t="s">
        <v>83</v>
      </c>
      <c r="C84">
        <v>14227.13</v>
      </c>
      <c r="D84">
        <v>13.89</v>
      </c>
      <c r="E84" s="3" t="s">
        <v>196</v>
      </c>
      <c r="F84" t="s">
        <v>125</v>
      </c>
    </row>
    <row r="85" spans="1:11" ht="14.45" hidden="1">
      <c r="A85" t="s">
        <v>197</v>
      </c>
      <c r="B85" s="18" t="s">
        <v>83</v>
      </c>
      <c r="C85">
        <v>268.69</v>
      </c>
      <c r="D85">
        <v>0.26</v>
      </c>
      <c r="E85" s="3" t="s">
        <v>6</v>
      </c>
      <c r="F85" t="s">
        <v>84</v>
      </c>
    </row>
    <row r="86" spans="1:11" ht="14.45">
      <c r="A86" t="s">
        <v>198</v>
      </c>
      <c r="B86" s="18" t="s">
        <v>83</v>
      </c>
      <c r="C86">
        <v>1558.44</v>
      </c>
      <c r="D86">
        <v>1.52</v>
      </c>
      <c r="E86" s="3" t="s">
        <v>6</v>
      </c>
      <c r="F86" t="s">
        <v>101</v>
      </c>
    </row>
    <row r="87" spans="1:11" ht="14.45" hidden="1">
      <c r="A87" t="s">
        <v>199</v>
      </c>
      <c r="B87" s="18" t="s">
        <v>83</v>
      </c>
      <c r="C87">
        <v>64.25</v>
      </c>
      <c r="D87">
        <v>0.06</v>
      </c>
      <c r="E87" s="19" t="s">
        <v>5</v>
      </c>
      <c r="H87" s="20" t="s">
        <v>89</v>
      </c>
      <c r="K87" s="44" t="s">
        <v>186</v>
      </c>
    </row>
    <row r="88" spans="1:11" ht="14.45" hidden="1">
      <c r="A88" t="s">
        <v>200</v>
      </c>
      <c r="B88" s="18" t="s">
        <v>83</v>
      </c>
      <c r="C88">
        <v>0.31</v>
      </c>
      <c r="D88">
        <v>0</v>
      </c>
      <c r="E88" s="3" t="s">
        <v>6</v>
      </c>
      <c r="F88" t="s">
        <v>84</v>
      </c>
    </row>
    <row r="89" spans="1:11" ht="14.45" hidden="1">
      <c r="A89" t="s">
        <v>201</v>
      </c>
      <c r="B89" s="18" t="s">
        <v>83</v>
      </c>
      <c r="C89">
        <v>61.88</v>
      </c>
      <c r="D89">
        <v>0.06</v>
      </c>
      <c r="E89" s="19" t="s">
        <v>202</v>
      </c>
      <c r="H89" s="31" t="s">
        <v>120</v>
      </c>
      <c r="J89" t="s">
        <v>15</v>
      </c>
    </row>
    <row r="90" spans="1:11" ht="14.45" hidden="1">
      <c r="A90" t="s">
        <v>203</v>
      </c>
      <c r="B90" s="18" t="s">
        <v>83</v>
      </c>
      <c r="C90">
        <v>56.75</v>
      </c>
      <c r="D90">
        <v>0.06</v>
      </c>
      <c r="E90" s="19" t="s">
        <v>5</v>
      </c>
      <c r="H90" s="20" t="s">
        <v>89</v>
      </c>
    </row>
    <row r="91" spans="1:11" ht="14.45" hidden="1">
      <c r="A91" t="s">
        <v>204</v>
      </c>
      <c r="B91" s="18" t="s">
        <v>83</v>
      </c>
      <c r="C91">
        <v>462.69</v>
      </c>
      <c r="D91">
        <v>0.45</v>
      </c>
      <c r="E91" s="3" t="s">
        <v>196</v>
      </c>
      <c r="F91" t="s">
        <v>125</v>
      </c>
    </row>
    <row r="92" spans="1:11" ht="14.45" hidden="1">
      <c r="A92" t="s">
        <v>205</v>
      </c>
      <c r="B92" s="18" t="s">
        <v>83</v>
      </c>
      <c r="C92">
        <v>55.06</v>
      </c>
      <c r="D92">
        <v>0.05</v>
      </c>
      <c r="E92" s="19" t="s">
        <v>5</v>
      </c>
      <c r="H92" s="20" t="s">
        <v>89</v>
      </c>
    </row>
    <row r="93" spans="1:11" ht="14.45" hidden="1">
      <c r="A93" t="s">
        <v>206</v>
      </c>
      <c r="B93" s="18" t="s">
        <v>83</v>
      </c>
      <c r="C93">
        <v>32.94</v>
      </c>
      <c r="D93">
        <v>0.03</v>
      </c>
      <c r="E93" s="3" t="s">
        <v>6</v>
      </c>
      <c r="F93" t="s">
        <v>84</v>
      </c>
    </row>
    <row r="94" spans="1:11" ht="14.45" hidden="1">
      <c r="A94" t="s">
        <v>207</v>
      </c>
      <c r="B94" s="18" t="s">
        <v>83</v>
      </c>
      <c r="C94">
        <v>154.69</v>
      </c>
      <c r="D94">
        <v>0.15</v>
      </c>
      <c r="E94" s="3" t="s">
        <v>6</v>
      </c>
      <c r="F94" t="s">
        <v>84</v>
      </c>
    </row>
    <row r="95" spans="1:11" ht="14.45" hidden="1">
      <c r="A95" t="s">
        <v>208</v>
      </c>
      <c r="B95" s="18" t="s">
        <v>83</v>
      </c>
      <c r="C95">
        <v>590.05999999999995</v>
      </c>
      <c r="D95">
        <v>0.57999999999999996</v>
      </c>
      <c r="E95" s="3" t="s">
        <v>6</v>
      </c>
      <c r="F95" t="s">
        <v>84</v>
      </c>
    </row>
    <row r="96" spans="1:11" ht="14.45" hidden="1">
      <c r="A96" t="s">
        <v>209</v>
      </c>
      <c r="B96" s="18" t="s">
        <v>83</v>
      </c>
      <c r="C96">
        <v>8.44</v>
      </c>
      <c r="D96">
        <v>0.01</v>
      </c>
      <c r="E96" s="19" t="s">
        <v>5</v>
      </c>
      <c r="F96" t="s">
        <v>84</v>
      </c>
      <c r="H96" t="s">
        <v>210</v>
      </c>
    </row>
    <row r="97" spans="1:10" ht="14.45" hidden="1">
      <c r="A97" t="s">
        <v>211</v>
      </c>
      <c r="B97" s="18" t="s">
        <v>83</v>
      </c>
      <c r="C97">
        <v>10.44</v>
      </c>
      <c r="D97">
        <v>0.01</v>
      </c>
      <c r="E97" s="3" t="s">
        <v>6</v>
      </c>
      <c r="F97" t="s">
        <v>84</v>
      </c>
    </row>
    <row r="98" spans="1:10" ht="14.45" hidden="1">
      <c r="A98" t="s">
        <v>212</v>
      </c>
      <c r="B98" s="18" t="s">
        <v>83</v>
      </c>
      <c r="C98">
        <v>50.5</v>
      </c>
      <c r="D98">
        <v>0.05</v>
      </c>
      <c r="E98" s="3" t="s">
        <v>6</v>
      </c>
      <c r="F98" t="s">
        <v>84</v>
      </c>
    </row>
    <row r="99" spans="1:10" ht="14.45" hidden="1">
      <c r="A99" t="s">
        <v>213</v>
      </c>
      <c r="B99" s="18" t="s">
        <v>83</v>
      </c>
      <c r="C99">
        <v>439.94</v>
      </c>
      <c r="D99">
        <v>0.43</v>
      </c>
      <c r="E99" s="3" t="s">
        <v>6</v>
      </c>
      <c r="F99" t="s">
        <v>84</v>
      </c>
    </row>
    <row r="100" spans="1:10" ht="14.45" hidden="1">
      <c r="A100" t="s">
        <v>214</v>
      </c>
      <c r="B100" s="18" t="s">
        <v>83</v>
      </c>
      <c r="C100">
        <v>443.06</v>
      </c>
      <c r="D100">
        <v>0.43</v>
      </c>
      <c r="E100" s="3" t="s">
        <v>6</v>
      </c>
      <c r="F100" t="s">
        <v>84</v>
      </c>
    </row>
    <row r="101" spans="1:10" ht="14.45" hidden="1">
      <c r="A101" t="s">
        <v>215</v>
      </c>
      <c r="B101" s="18" t="s">
        <v>83</v>
      </c>
      <c r="C101">
        <v>170.19</v>
      </c>
      <c r="D101">
        <v>0.17</v>
      </c>
      <c r="E101" s="3" t="s">
        <v>6</v>
      </c>
      <c r="F101" t="s">
        <v>84</v>
      </c>
    </row>
    <row r="102" spans="1:10" ht="14.45" hidden="1">
      <c r="A102" t="s">
        <v>216</v>
      </c>
      <c r="B102" s="18" t="s">
        <v>83</v>
      </c>
      <c r="C102">
        <v>67936.69</v>
      </c>
      <c r="D102">
        <v>66.34</v>
      </c>
      <c r="E102" s="3" t="s">
        <v>6</v>
      </c>
      <c r="F102" t="s">
        <v>84</v>
      </c>
    </row>
    <row r="103" spans="1:10" ht="14.45" hidden="1">
      <c r="A103" t="s">
        <v>217</v>
      </c>
      <c r="B103" s="18" t="s">
        <v>83</v>
      </c>
      <c r="C103">
        <v>28733.75</v>
      </c>
      <c r="D103">
        <v>28.06</v>
      </c>
      <c r="E103" s="3" t="s">
        <v>6</v>
      </c>
      <c r="F103" t="s">
        <v>84</v>
      </c>
    </row>
    <row r="104" spans="1:10" ht="14.45" hidden="1">
      <c r="A104" t="s">
        <v>218</v>
      </c>
      <c r="B104" s="18" t="s">
        <v>83</v>
      </c>
      <c r="C104">
        <v>2067.81</v>
      </c>
      <c r="D104">
        <v>2.02</v>
      </c>
      <c r="E104" s="3" t="s">
        <v>6</v>
      </c>
      <c r="F104" t="s">
        <v>84</v>
      </c>
    </row>
    <row r="105" spans="1:10" ht="14.45" hidden="1">
      <c r="A105" t="s">
        <v>219</v>
      </c>
      <c r="B105" s="18" t="s">
        <v>83</v>
      </c>
      <c r="C105">
        <v>702.69</v>
      </c>
      <c r="D105">
        <v>0.69</v>
      </c>
      <c r="E105" s="3" t="s">
        <v>6</v>
      </c>
      <c r="F105" t="s">
        <v>84</v>
      </c>
    </row>
    <row r="106" spans="1:10" ht="14.45" hidden="1">
      <c r="A106" t="s">
        <v>220</v>
      </c>
      <c r="B106" s="18" t="s">
        <v>83</v>
      </c>
      <c r="C106">
        <v>23.56</v>
      </c>
      <c r="D106">
        <v>0.02</v>
      </c>
      <c r="E106" s="19" t="s">
        <v>5</v>
      </c>
      <c r="F106" t="s">
        <v>84</v>
      </c>
      <c r="H106" t="s">
        <v>210</v>
      </c>
      <c r="I106" t="s">
        <v>221</v>
      </c>
      <c r="J106" t="s">
        <v>15</v>
      </c>
    </row>
    <row r="107" spans="1:10" ht="14.45" hidden="1">
      <c r="A107" s="52" t="s">
        <v>46</v>
      </c>
      <c r="B107" s="18" t="s">
        <v>83</v>
      </c>
      <c r="C107" s="16">
        <v>13.5</v>
      </c>
      <c r="D107" s="16">
        <v>0.01</v>
      </c>
      <c r="E107" s="13" t="s">
        <v>10</v>
      </c>
      <c r="F107" s="16" t="s">
        <v>116</v>
      </c>
      <c r="G107" s="16"/>
      <c r="H107" s="16" t="s">
        <v>117</v>
      </c>
      <c r="I107" s="16" t="s">
        <v>222</v>
      </c>
      <c r="J107" t="s">
        <v>31</v>
      </c>
    </row>
    <row r="108" spans="1:10" ht="14.45" hidden="1">
      <c r="A108" s="17" t="s">
        <v>223</v>
      </c>
      <c r="B108" s="18" t="s">
        <v>83</v>
      </c>
      <c r="C108" s="17">
        <v>8.06</v>
      </c>
      <c r="D108" s="17">
        <v>0.01</v>
      </c>
      <c r="E108" s="54" t="s">
        <v>6</v>
      </c>
      <c r="F108" s="17" t="s">
        <v>116</v>
      </c>
      <c r="G108" s="17"/>
      <c r="H108" s="17"/>
      <c r="I108" s="17"/>
    </row>
    <row r="109" spans="1:10" ht="14.45" hidden="1">
      <c r="A109" s="52" t="s">
        <v>47</v>
      </c>
      <c r="B109" s="18" t="s">
        <v>83</v>
      </c>
      <c r="C109" s="16">
        <v>2.38</v>
      </c>
      <c r="D109" s="16">
        <v>0</v>
      </c>
      <c r="E109" s="13" t="s">
        <v>10</v>
      </c>
      <c r="F109" s="16" t="s">
        <v>116</v>
      </c>
      <c r="G109" s="16"/>
      <c r="H109" s="16" t="s">
        <v>117</v>
      </c>
      <c r="I109" s="16" t="s">
        <v>222</v>
      </c>
      <c r="J109" t="s">
        <v>31</v>
      </c>
    </row>
    <row r="110" spans="1:10" ht="14.45" hidden="1">
      <c r="A110" s="17" t="s">
        <v>224</v>
      </c>
      <c r="B110" s="18" t="s">
        <v>83</v>
      </c>
      <c r="C110" s="17">
        <v>11150.94</v>
      </c>
      <c r="D110" s="17">
        <v>10.89</v>
      </c>
      <c r="E110" s="54" t="s">
        <v>6</v>
      </c>
      <c r="F110" s="17" t="s">
        <v>116</v>
      </c>
      <c r="G110" s="17"/>
      <c r="H110" s="17"/>
      <c r="I110" s="17"/>
    </row>
    <row r="111" spans="1:10" ht="14.45" hidden="1">
      <c r="A111" s="16" t="s">
        <v>49</v>
      </c>
      <c r="B111" s="18" t="s">
        <v>83</v>
      </c>
      <c r="C111" s="16">
        <v>3978.5</v>
      </c>
      <c r="D111" s="16">
        <v>3.89</v>
      </c>
      <c r="E111" s="13" t="s">
        <v>10</v>
      </c>
      <c r="F111" s="16" t="s">
        <v>116</v>
      </c>
      <c r="G111" s="16"/>
      <c r="H111" s="16" t="s">
        <v>117</v>
      </c>
      <c r="I111" s="16" t="s">
        <v>222</v>
      </c>
      <c r="J111" t="s">
        <v>31</v>
      </c>
    </row>
    <row r="112" spans="1:10" ht="14.45" hidden="1">
      <c r="A112" s="17" t="s">
        <v>225</v>
      </c>
      <c r="B112" s="18" t="s">
        <v>83</v>
      </c>
      <c r="C112" s="17">
        <v>152875.6</v>
      </c>
      <c r="D112" s="17">
        <v>149.29</v>
      </c>
      <c r="E112" s="54" t="s">
        <v>6</v>
      </c>
      <c r="F112" s="17" t="s">
        <v>116</v>
      </c>
      <c r="G112" s="17"/>
      <c r="H112" s="17"/>
      <c r="I112" s="17"/>
    </row>
    <row r="113" spans="1:10" ht="14.45" hidden="1">
      <c r="A113" s="16" t="s">
        <v>51</v>
      </c>
      <c r="B113" s="18" t="s">
        <v>83</v>
      </c>
      <c r="C113" s="16">
        <v>68.13</v>
      </c>
      <c r="D113" s="16">
        <v>7.0000000000000007E-2</v>
      </c>
      <c r="E113" s="13" t="s">
        <v>10</v>
      </c>
      <c r="F113" s="16" t="s">
        <v>116</v>
      </c>
      <c r="G113" s="16"/>
      <c r="H113" s="16" t="s">
        <v>117</v>
      </c>
      <c r="I113" s="16" t="s">
        <v>222</v>
      </c>
      <c r="J113" t="s">
        <v>31</v>
      </c>
    </row>
    <row r="114" spans="1:10" ht="14.45" hidden="1">
      <c r="A114" s="17" t="s">
        <v>53</v>
      </c>
      <c r="B114" s="18" t="s">
        <v>83</v>
      </c>
      <c r="C114" s="17">
        <v>11.75</v>
      </c>
      <c r="D114" s="17">
        <v>0.01</v>
      </c>
      <c r="E114" s="13" t="s">
        <v>10</v>
      </c>
      <c r="F114" s="17" t="s">
        <v>116</v>
      </c>
      <c r="G114" s="17"/>
      <c r="H114" s="17" t="s">
        <v>117</v>
      </c>
      <c r="I114" s="17" t="s">
        <v>222</v>
      </c>
      <c r="J114" t="s">
        <v>31</v>
      </c>
    </row>
    <row r="115" spans="1:10" ht="14.45" hidden="1">
      <c r="A115" s="52" t="s">
        <v>55</v>
      </c>
      <c r="B115" s="18" t="s">
        <v>83</v>
      </c>
      <c r="C115" s="16">
        <v>6.25</v>
      </c>
      <c r="D115" s="16">
        <v>0.01</v>
      </c>
      <c r="E115" s="13" t="s">
        <v>10</v>
      </c>
      <c r="F115" s="16" t="s">
        <v>116</v>
      </c>
      <c r="G115" s="16"/>
      <c r="H115" s="16" t="s">
        <v>117</v>
      </c>
      <c r="I115" s="16" t="s">
        <v>222</v>
      </c>
      <c r="J115" t="s">
        <v>31</v>
      </c>
    </row>
    <row r="116" spans="1:10" ht="14.45" hidden="1">
      <c r="A116" s="17" t="s">
        <v>226</v>
      </c>
      <c r="B116" s="18" t="s">
        <v>83</v>
      </c>
      <c r="C116" s="17">
        <v>6382</v>
      </c>
      <c r="D116" s="17">
        <v>6.23</v>
      </c>
      <c r="E116" s="54" t="s">
        <v>6</v>
      </c>
      <c r="F116" s="17" t="s">
        <v>116</v>
      </c>
      <c r="G116" s="17"/>
      <c r="H116" s="17"/>
      <c r="I116" s="17"/>
    </row>
    <row r="117" spans="1:10" ht="43.5" hidden="1">
      <c r="A117" s="16" t="s">
        <v>57</v>
      </c>
      <c r="B117" s="18" t="s">
        <v>83</v>
      </c>
      <c r="C117" s="16">
        <v>13273.81</v>
      </c>
      <c r="D117" s="16">
        <v>12.96</v>
      </c>
      <c r="E117" s="13" t="s">
        <v>10</v>
      </c>
      <c r="F117" s="16" t="s">
        <v>116</v>
      </c>
      <c r="G117" s="16"/>
      <c r="H117" s="21" t="s">
        <v>227</v>
      </c>
      <c r="I117" s="21" t="s">
        <v>222</v>
      </c>
      <c r="J117" t="s">
        <v>31</v>
      </c>
    </row>
    <row r="118" spans="1:10" ht="14.45" hidden="1">
      <c r="A118" s="17" t="s">
        <v>228</v>
      </c>
      <c r="B118" s="18" t="s">
        <v>83</v>
      </c>
      <c r="C118" s="17">
        <v>96.06</v>
      </c>
      <c r="D118" s="17">
        <v>0.09</v>
      </c>
      <c r="E118" s="54" t="s">
        <v>6</v>
      </c>
      <c r="F118" s="17" t="s">
        <v>116</v>
      </c>
      <c r="G118" s="17"/>
      <c r="H118" s="17"/>
      <c r="I118" s="17"/>
    </row>
    <row r="119" spans="1:10" ht="87" hidden="1">
      <c r="A119" t="s">
        <v>229</v>
      </c>
      <c r="B119" s="18" t="s">
        <v>83</v>
      </c>
      <c r="C119">
        <v>111.25</v>
      </c>
      <c r="D119">
        <v>0.11</v>
      </c>
      <c r="E119" s="19" t="s">
        <v>5</v>
      </c>
      <c r="F119" s="32" t="s">
        <v>84</v>
      </c>
      <c r="G119" s="32"/>
      <c r="H119" s="56" t="s">
        <v>230</v>
      </c>
      <c r="I119" t="s">
        <v>231</v>
      </c>
      <c r="J119" t="s">
        <v>15</v>
      </c>
    </row>
    <row r="120" spans="1:10" ht="87" hidden="1">
      <c r="A120" t="s">
        <v>232</v>
      </c>
      <c r="B120" s="18" t="s">
        <v>83</v>
      </c>
      <c r="C120">
        <v>7.69</v>
      </c>
      <c r="D120">
        <v>0.01</v>
      </c>
      <c r="E120" s="19" t="s">
        <v>5</v>
      </c>
      <c r="F120" s="32" t="s">
        <v>84</v>
      </c>
      <c r="G120" s="32"/>
      <c r="H120" s="56" t="s">
        <v>230</v>
      </c>
      <c r="I120" t="s">
        <v>231</v>
      </c>
      <c r="J120" t="s">
        <v>15</v>
      </c>
    </row>
    <row r="121" spans="1:10" ht="87" hidden="1">
      <c r="A121" t="s">
        <v>233</v>
      </c>
      <c r="B121" s="18" t="s">
        <v>83</v>
      </c>
      <c r="C121">
        <v>62.25</v>
      </c>
      <c r="D121">
        <v>0.06</v>
      </c>
      <c r="E121" s="19" t="s">
        <v>5</v>
      </c>
      <c r="F121" s="32" t="s">
        <v>84</v>
      </c>
      <c r="G121" s="32"/>
      <c r="H121" s="56" t="s">
        <v>230</v>
      </c>
      <c r="I121" t="s">
        <v>231</v>
      </c>
      <c r="J121" t="s">
        <v>15</v>
      </c>
    </row>
    <row r="122" spans="1:10" ht="87" hidden="1">
      <c r="A122" t="s">
        <v>234</v>
      </c>
      <c r="B122" s="18" t="s">
        <v>83</v>
      </c>
      <c r="C122">
        <v>12.81</v>
      </c>
      <c r="D122">
        <v>0.01</v>
      </c>
      <c r="E122" s="19" t="s">
        <v>5</v>
      </c>
      <c r="F122" s="32" t="s">
        <v>84</v>
      </c>
      <c r="G122" s="32"/>
      <c r="H122" s="56" t="s">
        <v>230</v>
      </c>
      <c r="I122" t="s">
        <v>231</v>
      </c>
      <c r="J122" t="s">
        <v>15</v>
      </c>
    </row>
    <row r="123" spans="1:10" ht="14.45" hidden="1">
      <c r="A123" s="16" t="s">
        <v>235</v>
      </c>
      <c r="B123" s="18" t="s">
        <v>83</v>
      </c>
      <c r="C123" s="16">
        <v>20524.689999999999</v>
      </c>
      <c r="D123" s="16">
        <v>20.04</v>
      </c>
      <c r="E123" s="55" t="s">
        <v>6</v>
      </c>
      <c r="F123" s="16" t="s">
        <v>116</v>
      </c>
      <c r="G123" s="16"/>
      <c r="H123" s="16"/>
      <c r="I123" s="16"/>
    </row>
    <row r="124" spans="1:10" ht="14.45" hidden="1">
      <c r="A124" t="s">
        <v>236</v>
      </c>
      <c r="B124" s="18" t="s">
        <v>83</v>
      </c>
      <c r="C124">
        <v>2861.81</v>
      </c>
      <c r="D124">
        <v>2.79</v>
      </c>
      <c r="E124" s="3" t="s">
        <v>6</v>
      </c>
      <c r="F124" t="s">
        <v>84</v>
      </c>
    </row>
    <row r="125" spans="1:10" ht="14.45" hidden="1">
      <c r="A125" t="s">
        <v>237</v>
      </c>
      <c r="B125" s="18" t="s">
        <v>83</v>
      </c>
      <c r="C125">
        <v>32402.44</v>
      </c>
      <c r="D125">
        <v>31.64</v>
      </c>
      <c r="E125" s="3" t="s">
        <v>6</v>
      </c>
      <c r="F125" t="s">
        <v>84</v>
      </c>
    </row>
    <row r="126" spans="1:10" ht="14.45" hidden="1">
      <c r="A126" t="s">
        <v>238</v>
      </c>
      <c r="B126" s="18" t="s">
        <v>83</v>
      </c>
      <c r="C126">
        <v>6679</v>
      </c>
      <c r="D126">
        <v>6.52</v>
      </c>
      <c r="E126" s="3" t="s">
        <v>6</v>
      </c>
      <c r="F126" t="s">
        <v>84</v>
      </c>
    </row>
    <row r="127" spans="1:10" ht="14.45" hidden="1">
      <c r="A127" t="s">
        <v>239</v>
      </c>
      <c r="B127" s="18" t="s">
        <v>83</v>
      </c>
      <c r="C127">
        <v>4235.5600000000004</v>
      </c>
      <c r="D127">
        <v>4.1399999999999997</v>
      </c>
      <c r="E127" s="3" t="s">
        <v>6</v>
      </c>
      <c r="F127" t="s">
        <v>84</v>
      </c>
    </row>
    <row r="128" spans="1:10" ht="14.45" hidden="1">
      <c r="A128" t="s">
        <v>240</v>
      </c>
      <c r="B128" s="18" t="s">
        <v>83</v>
      </c>
      <c r="C128">
        <v>21688</v>
      </c>
      <c r="D128">
        <v>21.18</v>
      </c>
      <c r="E128" s="19" t="s">
        <v>5</v>
      </c>
      <c r="F128" t="s">
        <v>84</v>
      </c>
      <c r="H128" t="s">
        <v>241</v>
      </c>
    </row>
    <row r="129" spans="1:11" ht="14.45" hidden="1">
      <c r="A129" t="s">
        <v>242</v>
      </c>
      <c r="B129" s="18" t="s">
        <v>83</v>
      </c>
      <c r="C129">
        <v>11.69</v>
      </c>
      <c r="D129">
        <v>0.01</v>
      </c>
      <c r="E129" s="3" t="s">
        <v>6</v>
      </c>
      <c r="F129" t="s">
        <v>125</v>
      </c>
    </row>
    <row r="130" spans="1:11" ht="14.45" hidden="1">
      <c r="A130" t="s">
        <v>243</v>
      </c>
      <c r="B130" s="18" t="s">
        <v>83</v>
      </c>
      <c r="C130">
        <v>44</v>
      </c>
      <c r="D130">
        <v>0.04</v>
      </c>
      <c r="E130" s="19" t="s">
        <v>5</v>
      </c>
      <c r="H130" s="20" t="s">
        <v>89</v>
      </c>
      <c r="K130" s="44" t="s">
        <v>186</v>
      </c>
    </row>
    <row r="131" spans="1:11" ht="14.45" hidden="1">
      <c r="A131" s="17" t="s">
        <v>244</v>
      </c>
      <c r="B131" s="18" t="s">
        <v>83</v>
      </c>
      <c r="C131" s="17">
        <v>41.56</v>
      </c>
      <c r="D131" s="17">
        <v>0.04</v>
      </c>
      <c r="E131" s="54" t="s">
        <v>6</v>
      </c>
      <c r="F131" s="17" t="s">
        <v>116</v>
      </c>
      <c r="G131" s="17"/>
      <c r="H131" s="17"/>
      <c r="I131" s="17"/>
    </row>
    <row r="132" spans="1:11" ht="14.45" hidden="1">
      <c r="A132" t="s">
        <v>245</v>
      </c>
      <c r="B132" s="18" t="s">
        <v>83</v>
      </c>
      <c r="C132">
        <v>41.06</v>
      </c>
      <c r="D132">
        <v>0.04</v>
      </c>
      <c r="E132" s="19" t="s">
        <v>5</v>
      </c>
      <c r="H132" s="20" t="s">
        <v>89</v>
      </c>
    </row>
    <row r="133" spans="1:11" ht="14.45" hidden="1">
      <c r="A133" s="52" t="s">
        <v>59</v>
      </c>
      <c r="B133" s="18" t="s">
        <v>83</v>
      </c>
      <c r="C133" s="16">
        <v>84.69</v>
      </c>
      <c r="D133" s="16">
        <v>0.08</v>
      </c>
      <c r="E133" s="55" t="s">
        <v>10</v>
      </c>
      <c r="F133" s="16" t="s">
        <v>116</v>
      </c>
      <c r="G133" s="16"/>
      <c r="H133" s="16" t="s">
        <v>117</v>
      </c>
      <c r="I133" s="16" t="s">
        <v>222</v>
      </c>
      <c r="J133" t="s">
        <v>31</v>
      </c>
    </row>
    <row r="134" spans="1:11" ht="14.45" hidden="1">
      <c r="A134" s="53" t="s">
        <v>60</v>
      </c>
      <c r="B134" s="18" t="s">
        <v>83</v>
      </c>
      <c r="C134" s="17">
        <v>187.56</v>
      </c>
      <c r="D134" s="17">
        <v>0.18</v>
      </c>
      <c r="E134" s="55" t="s">
        <v>10</v>
      </c>
      <c r="F134" s="17" t="s">
        <v>116</v>
      </c>
      <c r="G134" s="17"/>
      <c r="H134" s="17" t="s">
        <v>117</v>
      </c>
      <c r="I134" s="17" t="s">
        <v>222</v>
      </c>
      <c r="J134" t="s">
        <v>31</v>
      </c>
    </row>
    <row r="135" spans="1:11" ht="14.45" hidden="1">
      <c r="A135" t="s">
        <v>246</v>
      </c>
      <c r="B135" s="18" t="s">
        <v>83</v>
      </c>
      <c r="C135">
        <v>46.56</v>
      </c>
      <c r="D135">
        <v>0.05</v>
      </c>
      <c r="E135" s="19" t="s">
        <v>6</v>
      </c>
      <c r="F135" t="s">
        <v>159</v>
      </c>
      <c r="I135" t="s">
        <v>247</v>
      </c>
      <c r="J135" t="s">
        <v>248</v>
      </c>
    </row>
    <row r="136" spans="1:11" ht="14.45" hidden="1">
      <c r="A136" t="s">
        <v>249</v>
      </c>
      <c r="B136" s="18" t="s">
        <v>83</v>
      </c>
      <c r="C136">
        <v>58.56</v>
      </c>
      <c r="D136">
        <v>0.06</v>
      </c>
      <c r="E136" s="19" t="s">
        <v>6</v>
      </c>
      <c r="F136" t="s">
        <v>159</v>
      </c>
      <c r="I136" t="s">
        <v>247</v>
      </c>
      <c r="J136" t="s">
        <v>248</v>
      </c>
    </row>
    <row r="137" spans="1:11" ht="14.45" hidden="1">
      <c r="A137" t="s">
        <v>250</v>
      </c>
      <c r="B137" s="18" t="s">
        <v>83</v>
      </c>
      <c r="C137">
        <v>60.38</v>
      </c>
      <c r="D137">
        <v>0.06</v>
      </c>
      <c r="E137" s="19" t="s">
        <v>6</v>
      </c>
      <c r="F137" t="s">
        <v>159</v>
      </c>
      <c r="I137" t="s">
        <v>247</v>
      </c>
      <c r="J137" t="s">
        <v>248</v>
      </c>
    </row>
    <row r="138" spans="1:11" ht="14.45" hidden="1">
      <c r="A138" t="s">
        <v>251</v>
      </c>
      <c r="B138" s="18" t="s">
        <v>83</v>
      </c>
      <c r="C138">
        <v>49.25</v>
      </c>
      <c r="D138">
        <v>0.05</v>
      </c>
      <c r="E138" s="19" t="s">
        <v>6</v>
      </c>
      <c r="F138" t="s">
        <v>159</v>
      </c>
      <c r="I138" t="s">
        <v>247</v>
      </c>
      <c r="J138" t="s">
        <v>248</v>
      </c>
    </row>
    <row r="139" spans="1:11" ht="14.45" hidden="1">
      <c r="A139" t="s">
        <v>176</v>
      </c>
      <c r="B139" s="18" t="s">
        <v>83</v>
      </c>
      <c r="C139">
        <v>35</v>
      </c>
      <c r="D139">
        <v>0.03</v>
      </c>
      <c r="E139" s="19" t="s">
        <v>5</v>
      </c>
      <c r="H139" s="20" t="s">
        <v>89</v>
      </c>
      <c r="K139" s="44" t="s">
        <v>186</v>
      </c>
    </row>
    <row r="140" spans="1:11" ht="14.45" hidden="1">
      <c r="A140" t="s">
        <v>252</v>
      </c>
      <c r="B140" s="18" t="s">
        <v>83</v>
      </c>
      <c r="C140">
        <v>627.94000000000005</v>
      </c>
      <c r="D140">
        <v>0.61</v>
      </c>
      <c r="E140" s="3" t="s">
        <v>6</v>
      </c>
      <c r="F140" t="s">
        <v>84</v>
      </c>
    </row>
    <row r="141" spans="1:11" ht="14.45" hidden="1">
      <c r="A141" t="s">
        <v>253</v>
      </c>
      <c r="B141" s="18" t="s">
        <v>83</v>
      </c>
      <c r="C141">
        <v>929.25</v>
      </c>
      <c r="D141">
        <v>0.91</v>
      </c>
      <c r="E141" s="3" t="s">
        <v>6</v>
      </c>
      <c r="F141" t="s">
        <v>84</v>
      </c>
    </row>
    <row r="142" spans="1:11" ht="14.45" hidden="1">
      <c r="A142" t="s">
        <v>254</v>
      </c>
      <c r="B142" s="18" t="s">
        <v>83</v>
      </c>
      <c r="C142">
        <v>3.56</v>
      </c>
      <c r="D142">
        <v>0</v>
      </c>
      <c r="E142" s="3" t="s">
        <v>6</v>
      </c>
      <c r="F142" t="s">
        <v>84</v>
      </c>
    </row>
    <row r="143" spans="1:11" ht="14.45" hidden="1">
      <c r="A143" t="s">
        <v>255</v>
      </c>
      <c r="B143" s="18" t="s">
        <v>83</v>
      </c>
      <c r="C143">
        <v>3.31</v>
      </c>
      <c r="D143">
        <v>0</v>
      </c>
      <c r="E143" s="3" t="s">
        <v>6</v>
      </c>
      <c r="F143" t="s">
        <v>84</v>
      </c>
    </row>
    <row r="144" spans="1:11" ht="14.45">
      <c r="A144" t="s">
        <v>256</v>
      </c>
      <c r="B144" s="18" t="s">
        <v>83</v>
      </c>
      <c r="C144">
        <v>22538.44</v>
      </c>
      <c r="D144">
        <v>22.01</v>
      </c>
      <c r="E144" s="3" t="s">
        <v>6</v>
      </c>
      <c r="F144" t="s">
        <v>101</v>
      </c>
    </row>
    <row r="145" spans="1:11" ht="14.45" hidden="1">
      <c r="A145" t="s">
        <v>257</v>
      </c>
      <c r="B145" s="18" t="s">
        <v>83</v>
      </c>
      <c r="C145">
        <v>92396.63</v>
      </c>
      <c r="D145">
        <v>90.23</v>
      </c>
      <c r="E145" s="3" t="s">
        <v>6</v>
      </c>
      <c r="F145" t="s">
        <v>84</v>
      </c>
    </row>
    <row r="146" spans="1:11" ht="14.45" hidden="1">
      <c r="A146" t="s">
        <v>258</v>
      </c>
      <c r="B146" s="18" t="s">
        <v>83</v>
      </c>
      <c r="C146">
        <v>34.130000000000003</v>
      </c>
      <c r="D146">
        <v>0.03</v>
      </c>
      <c r="E146" s="19" t="s">
        <v>202</v>
      </c>
      <c r="F146" t="s">
        <v>84</v>
      </c>
      <c r="H146" t="s">
        <v>114</v>
      </c>
      <c r="I146" t="s">
        <v>259</v>
      </c>
      <c r="J146" t="s">
        <v>50</v>
      </c>
    </row>
    <row r="147" spans="1:11" ht="14.45" hidden="1">
      <c r="A147" s="16" t="s">
        <v>260</v>
      </c>
      <c r="B147" s="18" t="s">
        <v>83</v>
      </c>
      <c r="C147" s="16">
        <v>1738.69</v>
      </c>
      <c r="D147" s="16">
        <v>1.7</v>
      </c>
      <c r="E147" s="55" t="s">
        <v>6</v>
      </c>
      <c r="F147" s="16" t="s">
        <v>116</v>
      </c>
      <c r="G147" s="16"/>
      <c r="H147" s="16"/>
      <c r="I147" s="16"/>
    </row>
    <row r="148" spans="1:11" ht="14.45" hidden="1">
      <c r="A148" t="s">
        <v>261</v>
      </c>
      <c r="B148" s="18" t="s">
        <v>83</v>
      </c>
      <c r="C148">
        <v>9530.81</v>
      </c>
      <c r="D148">
        <v>9.31</v>
      </c>
      <c r="E148" s="3" t="s">
        <v>6</v>
      </c>
      <c r="F148" t="s">
        <v>84</v>
      </c>
    </row>
    <row r="149" spans="1:11" ht="14.45" hidden="1">
      <c r="A149" s="17" t="s">
        <v>262</v>
      </c>
      <c r="B149" s="18" t="s">
        <v>83</v>
      </c>
      <c r="C149" s="17">
        <v>46185.69</v>
      </c>
      <c r="D149" s="17">
        <v>45.1</v>
      </c>
      <c r="E149" s="54" t="s">
        <v>6</v>
      </c>
      <c r="F149" s="17" t="s">
        <v>116</v>
      </c>
      <c r="G149" s="17"/>
      <c r="H149" s="17"/>
      <c r="I149" s="17"/>
    </row>
    <row r="150" spans="1:11" ht="14.45" hidden="1">
      <c r="A150" s="16" t="s">
        <v>61</v>
      </c>
      <c r="B150" s="18" t="s">
        <v>83</v>
      </c>
      <c r="C150" s="16">
        <v>33020.75</v>
      </c>
      <c r="D150" s="16">
        <v>32.25</v>
      </c>
      <c r="E150" s="55" t="s">
        <v>8</v>
      </c>
      <c r="F150" s="16" t="s">
        <v>116</v>
      </c>
      <c r="G150" s="16"/>
      <c r="H150" s="16"/>
      <c r="I150" s="16" t="s">
        <v>263</v>
      </c>
      <c r="J150" t="s">
        <v>31</v>
      </c>
    </row>
    <row r="151" spans="1:11" ht="14.45" hidden="1">
      <c r="A151" s="17" t="s">
        <v>62</v>
      </c>
      <c r="B151" s="18" t="s">
        <v>83</v>
      </c>
      <c r="C151" s="17">
        <v>19</v>
      </c>
      <c r="D151" s="17">
        <v>0.02</v>
      </c>
      <c r="E151" s="54" t="s">
        <v>8</v>
      </c>
      <c r="F151" s="17" t="s">
        <v>116</v>
      </c>
      <c r="G151" s="17"/>
      <c r="H151" s="17" t="s">
        <v>264</v>
      </c>
      <c r="I151" s="17" t="s">
        <v>265</v>
      </c>
      <c r="J151" t="s">
        <v>31</v>
      </c>
    </row>
    <row r="152" spans="1:11" ht="14.45" hidden="1">
      <c r="A152" s="16" t="s">
        <v>63</v>
      </c>
      <c r="B152" s="18" t="s">
        <v>83</v>
      </c>
      <c r="C152" s="16">
        <v>2.94</v>
      </c>
      <c r="D152" s="16">
        <v>0</v>
      </c>
      <c r="E152" s="55" t="s">
        <v>8</v>
      </c>
      <c r="F152" s="16" t="s">
        <v>116</v>
      </c>
      <c r="G152" s="16"/>
      <c r="H152" s="16" t="s">
        <v>264</v>
      </c>
      <c r="I152" s="16" t="s">
        <v>265</v>
      </c>
      <c r="J152" t="s">
        <v>31</v>
      </c>
    </row>
    <row r="153" spans="1:11" ht="14.45" hidden="1">
      <c r="A153" t="s">
        <v>266</v>
      </c>
      <c r="B153" s="18" t="s">
        <v>83</v>
      </c>
      <c r="C153">
        <v>0.25</v>
      </c>
      <c r="D153">
        <v>0</v>
      </c>
      <c r="E153" s="3" t="s">
        <v>6</v>
      </c>
      <c r="F153" t="s">
        <v>84</v>
      </c>
    </row>
    <row r="154" spans="1:11" ht="14.45" hidden="1">
      <c r="A154" s="17" t="s">
        <v>267</v>
      </c>
      <c r="B154" s="18" t="s">
        <v>83</v>
      </c>
      <c r="C154" s="17">
        <v>2568.63</v>
      </c>
      <c r="D154" s="17">
        <v>2.5099999999999998</v>
      </c>
      <c r="E154" s="54" t="s">
        <v>6</v>
      </c>
      <c r="F154" s="17" t="s">
        <v>116</v>
      </c>
      <c r="G154" s="17"/>
      <c r="H154" s="17"/>
      <c r="I154" s="17"/>
    </row>
    <row r="155" spans="1:11" ht="14.45" hidden="1">
      <c r="A155" t="s">
        <v>268</v>
      </c>
      <c r="B155" s="18" t="s">
        <v>83</v>
      </c>
      <c r="C155">
        <v>14309.38</v>
      </c>
      <c r="D155">
        <v>13.97</v>
      </c>
      <c r="E155" s="3" t="s">
        <v>6</v>
      </c>
      <c r="F155" t="s">
        <v>84</v>
      </c>
    </row>
    <row r="156" spans="1:11" ht="14.45" hidden="1">
      <c r="A156" t="s">
        <v>269</v>
      </c>
      <c r="B156" s="18" t="s">
        <v>83</v>
      </c>
      <c r="C156">
        <v>51667.56</v>
      </c>
      <c r="D156">
        <v>50.46</v>
      </c>
      <c r="E156" s="3" t="s">
        <v>6</v>
      </c>
      <c r="F156" t="s">
        <v>84</v>
      </c>
    </row>
    <row r="157" spans="1:11" ht="43.5" hidden="1">
      <c r="A157" t="s">
        <v>19</v>
      </c>
      <c r="B157" s="18" t="s">
        <v>83</v>
      </c>
      <c r="C157">
        <v>69056.63</v>
      </c>
      <c r="D157">
        <v>67.44</v>
      </c>
      <c r="E157" s="3" t="s">
        <v>8</v>
      </c>
      <c r="F157" t="s">
        <v>84</v>
      </c>
      <c r="H157" s="33" t="s">
        <v>270</v>
      </c>
      <c r="I157" t="s">
        <v>271</v>
      </c>
      <c r="J157" t="s">
        <v>15</v>
      </c>
    </row>
    <row r="158" spans="1:11" ht="14.45" hidden="1">
      <c r="A158" t="s">
        <v>272</v>
      </c>
      <c r="B158" s="18" t="s">
        <v>83</v>
      </c>
      <c r="C158">
        <v>0.13</v>
      </c>
      <c r="D158">
        <v>0</v>
      </c>
      <c r="E158" s="19" t="s">
        <v>5</v>
      </c>
      <c r="F158" t="s">
        <v>84</v>
      </c>
      <c r="H158" s="32" t="s">
        <v>120</v>
      </c>
      <c r="I158" t="s">
        <v>271</v>
      </c>
      <c r="J158" t="s">
        <v>15</v>
      </c>
    </row>
    <row r="159" spans="1:11" ht="14.45" hidden="1">
      <c r="A159" t="s">
        <v>273</v>
      </c>
      <c r="B159" s="18" t="s">
        <v>83</v>
      </c>
      <c r="C159">
        <v>1980.63</v>
      </c>
      <c r="D159">
        <v>1.93</v>
      </c>
      <c r="E159" s="19" t="s">
        <v>5</v>
      </c>
      <c r="F159" t="s">
        <v>84</v>
      </c>
      <c r="H159" s="32" t="s">
        <v>120</v>
      </c>
      <c r="I159" t="s">
        <v>271</v>
      </c>
      <c r="J159" t="s">
        <v>15</v>
      </c>
    </row>
    <row r="160" spans="1:11" ht="14.45" hidden="1">
      <c r="A160" t="s">
        <v>274</v>
      </c>
      <c r="B160" s="18" t="s">
        <v>83</v>
      </c>
      <c r="C160">
        <v>33.31</v>
      </c>
      <c r="D160">
        <v>0.03</v>
      </c>
      <c r="E160" s="19" t="s">
        <v>5</v>
      </c>
      <c r="H160" t="s">
        <v>89</v>
      </c>
      <c r="K160" s="44" t="s">
        <v>2</v>
      </c>
    </row>
    <row r="161" spans="1:11" ht="14.45" hidden="1">
      <c r="A161" s="16" t="s">
        <v>275</v>
      </c>
      <c r="B161" s="18" t="s">
        <v>83</v>
      </c>
      <c r="C161" s="16">
        <v>5038.0600000000004</v>
      </c>
      <c r="D161" s="16">
        <v>4.92</v>
      </c>
      <c r="E161" s="55" t="s">
        <v>6</v>
      </c>
      <c r="F161" s="16" t="s">
        <v>116</v>
      </c>
      <c r="G161" s="16"/>
      <c r="H161" s="16"/>
      <c r="I161" s="16"/>
    </row>
    <row r="162" spans="1:11" ht="14.45" hidden="1">
      <c r="A162" t="s">
        <v>276</v>
      </c>
      <c r="B162" s="18" t="s">
        <v>83</v>
      </c>
      <c r="C162">
        <v>791.31</v>
      </c>
      <c r="D162">
        <v>0.77</v>
      </c>
      <c r="E162" s="3" t="s">
        <v>6</v>
      </c>
      <c r="F162" t="s">
        <v>84</v>
      </c>
    </row>
    <row r="163" spans="1:11" ht="14.45" hidden="1">
      <c r="A163" t="s">
        <v>277</v>
      </c>
      <c r="B163" s="18" t="s">
        <v>83</v>
      </c>
      <c r="C163">
        <v>24.25</v>
      </c>
      <c r="D163">
        <v>0.02</v>
      </c>
      <c r="E163" s="19" t="s">
        <v>5</v>
      </c>
      <c r="H163" s="20" t="s">
        <v>89</v>
      </c>
      <c r="K163" s="44" t="s">
        <v>278</v>
      </c>
    </row>
    <row r="164" spans="1:11" ht="14.45" hidden="1">
      <c r="A164" s="17" t="s">
        <v>279</v>
      </c>
      <c r="B164" s="18" t="s">
        <v>83</v>
      </c>
      <c r="C164" s="17">
        <v>14632.31</v>
      </c>
      <c r="D164" s="17">
        <v>14.29</v>
      </c>
      <c r="E164" s="54" t="s">
        <v>6</v>
      </c>
      <c r="F164" s="17" t="s">
        <v>116</v>
      </c>
      <c r="G164" s="17"/>
      <c r="H164" s="17"/>
      <c r="I164" s="17"/>
    </row>
    <row r="165" spans="1:11" ht="14.45">
      <c r="A165" t="s">
        <v>280</v>
      </c>
      <c r="B165" s="18" t="s">
        <v>83</v>
      </c>
      <c r="C165">
        <v>566.75</v>
      </c>
      <c r="D165">
        <v>0.55000000000000004</v>
      </c>
      <c r="E165" s="3" t="s">
        <v>6</v>
      </c>
      <c r="F165" t="s">
        <v>101</v>
      </c>
    </row>
    <row r="166" spans="1:11" ht="14.45">
      <c r="A166" t="s">
        <v>281</v>
      </c>
      <c r="B166" s="18" t="s">
        <v>83</v>
      </c>
      <c r="C166">
        <v>491.81</v>
      </c>
      <c r="D166">
        <v>0.48</v>
      </c>
      <c r="E166" s="3" t="s">
        <v>6</v>
      </c>
      <c r="F166" t="s">
        <v>101</v>
      </c>
    </row>
    <row r="167" spans="1:11" ht="14.45" hidden="1">
      <c r="A167" t="s">
        <v>282</v>
      </c>
      <c r="B167" s="18" t="s">
        <v>83</v>
      </c>
      <c r="C167">
        <v>20.309999999999999</v>
      </c>
      <c r="D167">
        <v>0.02</v>
      </c>
      <c r="E167" s="19" t="s">
        <v>5</v>
      </c>
      <c r="H167" s="20" t="s">
        <v>89</v>
      </c>
      <c r="K167" s="44" t="s">
        <v>283</v>
      </c>
    </row>
    <row r="168" spans="1:11" ht="14.45" hidden="1">
      <c r="A168" s="16" t="s">
        <v>284</v>
      </c>
      <c r="B168" s="18" t="s">
        <v>83</v>
      </c>
      <c r="C168" s="16">
        <v>71276.13</v>
      </c>
      <c r="D168" s="16">
        <v>69.61</v>
      </c>
      <c r="E168" s="55" t="s">
        <v>6</v>
      </c>
      <c r="F168" s="16" t="s">
        <v>116</v>
      </c>
      <c r="G168" s="16"/>
      <c r="H168" s="16"/>
      <c r="I168" s="16"/>
    </row>
    <row r="169" spans="1:11" ht="14.45" hidden="1">
      <c r="A169" t="s">
        <v>285</v>
      </c>
      <c r="B169" s="18" t="s">
        <v>83</v>
      </c>
      <c r="C169">
        <v>9491.06</v>
      </c>
      <c r="D169">
        <v>9.27</v>
      </c>
      <c r="E169" s="3" t="s">
        <v>6</v>
      </c>
      <c r="F169" t="s">
        <v>84</v>
      </c>
    </row>
    <row r="170" spans="1:11" ht="14.45" hidden="1">
      <c r="A170" t="s">
        <v>286</v>
      </c>
      <c r="B170" s="18" t="s">
        <v>83</v>
      </c>
      <c r="C170">
        <v>154.31</v>
      </c>
      <c r="D170">
        <v>0.15</v>
      </c>
      <c r="E170" s="3" t="s">
        <v>6</v>
      </c>
      <c r="F170" t="s">
        <v>84</v>
      </c>
    </row>
    <row r="171" spans="1:11" ht="14.45" hidden="1">
      <c r="A171" t="s">
        <v>21</v>
      </c>
      <c r="B171" s="18" t="s">
        <v>83</v>
      </c>
      <c r="C171">
        <v>168.94</v>
      </c>
      <c r="D171">
        <v>0.16</v>
      </c>
      <c r="E171" s="3" t="s">
        <v>8</v>
      </c>
      <c r="F171" t="s">
        <v>84</v>
      </c>
      <c r="H171" t="s">
        <v>141</v>
      </c>
      <c r="I171" t="s">
        <v>287</v>
      </c>
      <c r="J171" t="s">
        <v>15</v>
      </c>
    </row>
    <row r="172" spans="1:11" ht="14.45">
      <c r="A172" t="s">
        <v>288</v>
      </c>
      <c r="B172" s="18" t="s">
        <v>83</v>
      </c>
      <c r="C172">
        <v>321.31</v>
      </c>
      <c r="D172">
        <v>0.31</v>
      </c>
      <c r="E172" s="3" t="s">
        <v>6</v>
      </c>
      <c r="F172" t="s">
        <v>101</v>
      </c>
    </row>
    <row r="173" spans="1:11" ht="14.45" hidden="1">
      <c r="A173" s="17" t="s">
        <v>289</v>
      </c>
      <c r="B173" s="18" t="s">
        <v>83</v>
      </c>
      <c r="C173" s="17">
        <v>23590</v>
      </c>
      <c r="D173" s="17">
        <v>23.04</v>
      </c>
      <c r="E173" s="54" t="s">
        <v>6</v>
      </c>
      <c r="F173" s="17" t="s">
        <v>116</v>
      </c>
      <c r="G173" s="17"/>
      <c r="H173" s="17"/>
      <c r="I173" s="17"/>
    </row>
    <row r="174" spans="1:11" ht="14.45" hidden="1">
      <c r="A174" t="s">
        <v>25</v>
      </c>
      <c r="B174" s="18" t="s">
        <v>83</v>
      </c>
      <c r="C174">
        <v>3</v>
      </c>
      <c r="D174">
        <v>0</v>
      </c>
      <c r="E174" s="3" t="s">
        <v>8</v>
      </c>
      <c r="F174" t="s">
        <v>125</v>
      </c>
      <c r="H174" s="4" t="s">
        <v>290</v>
      </c>
      <c r="I174" s="4" t="s">
        <v>291</v>
      </c>
      <c r="J174" t="s">
        <v>23</v>
      </c>
    </row>
    <row r="175" spans="1:11" ht="14.45" hidden="1">
      <c r="A175" s="16" t="s">
        <v>292</v>
      </c>
      <c r="B175" s="18" t="s">
        <v>83</v>
      </c>
      <c r="C175" s="16">
        <v>2896.31</v>
      </c>
      <c r="D175" s="16">
        <v>2.83</v>
      </c>
      <c r="E175" s="55" t="s">
        <v>6</v>
      </c>
      <c r="F175" s="16" t="s">
        <v>116</v>
      </c>
      <c r="G175" s="16"/>
      <c r="H175" s="16"/>
      <c r="I175" s="16"/>
    </row>
    <row r="176" spans="1:11" ht="14.45" hidden="1">
      <c r="A176" s="17" t="s">
        <v>64</v>
      </c>
      <c r="B176" s="18" t="s">
        <v>83</v>
      </c>
      <c r="C176" s="17">
        <v>24</v>
      </c>
      <c r="D176" s="17">
        <v>0.02</v>
      </c>
      <c r="E176" s="54" t="s">
        <v>8</v>
      </c>
      <c r="F176" s="17" t="s">
        <v>116</v>
      </c>
      <c r="G176" s="17"/>
      <c r="H176" s="17" t="s">
        <v>293</v>
      </c>
      <c r="I176" s="17" t="s">
        <v>294</v>
      </c>
      <c r="J176" t="s">
        <v>31</v>
      </c>
    </row>
    <row r="177" spans="1:11" ht="14.45" hidden="1">
      <c r="A177" t="s">
        <v>295</v>
      </c>
      <c r="B177" s="18" t="s">
        <v>83</v>
      </c>
      <c r="C177">
        <v>2712.88</v>
      </c>
      <c r="D177">
        <v>2.65</v>
      </c>
      <c r="E177" s="3" t="s">
        <v>6</v>
      </c>
      <c r="F177" t="s">
        <v>84</v>
      </c>
    </row>
    <row r="178" spans="1:11" ht="14.45" hidden="1">
      <c r="A178" t="s">
        <v>296</v>
      </c>
      <c r="B178" s="18" t="s">
        <v>83</v>
      </c>
      <c r="C178">
        <v>63.88</v>
      </c>
      <c r="D178">
        <v>0.06</v>
      </c>
      <c r="E178" s="3" t="s">
        <v>6</v>
      </c>
      <c r="F178" t="s">
        <v>84</v>
      </c>
    </row>
    <row r="179" spans="1:11" ht="14.45" hidden="1">
      <c r="A179" t="s">
        <v>297</v>
      </c>
      <c r="B179" s="18" t="s">
        <v>83</v>
      </c>
      <c r="C179">
        <v>571.44000000000005</v>
      </c>
      <c r="D179">
        <v>0.56000000000000005</v>
      </c>
      <c r="E179" s="3" t="s">
        <v>6</v>
      </c>
      <c r="F179" t="s">
        <v>84</v>
      </c>
    </row>
    <row r="180" spans="1:11" ht="14.45" hidden="1">
      <c r="A180" t="s">
        <v>298</v>
      </c>
      <c r="B180" s="18" t="s">
        <v>83</v>
      </c>
      <c r="C180">
        <v>363.13</v>
      </c>
      <c r="D180">
        <v>0.35</v>
      </c>
      <c r="E180" s="3" t="s">
        <v>6</v>
      </c>
      <c r="F180" t="s">
        <v>84</v>
      </c>
    </row>
    <row r="181" spans="1:11" ht="14.45" hidden="1">
      <c r="A181" t="s">
        <v>299</v>
      </c>
      <c r="B181" s="18" t="s">
        <v>83</v>
      </c>
      <c r="C181">
        <v>3.13</v>
      </c>
      <c r="D181">
        <v>0</v>
      </c>
      <c r="E181" s="3" t="s">
        <v>6</v>
      </c>
      <c r="F181" t="s">
        <v>84</v>
      </c>
    </row>
    <row r="182" spans="1:11" ht="14.45" hidden="1">
      <c r="A182" t="s">
        <v>300</v>
      </c>
      <c r="B182" s="18" t="s">
        <v>83</v>
      </c>
      <c r="C182">
        <v>60769.25</v>
      </c>
      <c r="D182">
        <v>59.34</v>
      </c>
      <c r="E182" s="3" t="s">
        <v>6</v>
      </c>
      <c r="F182" t="s">
        <v>84</v>
      </c>
    </row>
    <row r="183" spans="1:11" ht="14.45" hidden="1">
      <c r="A183" t="s">
        <v>301</v>
      </c>
      <c r="B183" s="18" t="s">
        <v>83</v>
      </c>
      <c r="C183">
        <v>401.19</v>
      </c>
      <c r="D183">
        <v>0.39</v>
      </c>
      <c r="E183" s="3" t="s">
        <v>6</v>
      </c>
      <c r="F183" t="s">
        <v>84</v>
      </c>
    </row>
    <row r="184" spans="1:11" ht="14.45" hidden="1">
      <c r="A184" t="s">
        <v>27</v>
      </c>
      <c r="B184" s="18" t="s">
        <v>83</v>
      </c>
      <c r="C184">
        <v>270.31</v>
      </c>
      <c r="D184">
        <v>0.26</v>
      </c>
      <c r="E184" s="3" t="s">
        <v>8</v>
      </c>
      <c r="F184" t="s">
        <v>125</v>
      </c>
      <c r="H184" s="4" t="s">
        <v>290</v>
      </c>
      <c r="I184" s="4" t="s">
        <v>302</v>
      </c>
      <c r="J184" t="s">
        <v>23</v>
      </c>
    </row>
    <row r="185" spans="1:11" ht="14.45" hidden="1">
      <c r="A185" s="16" t="s">
        <v>303</v>
      </c>
      <c r="B185" s="18" t="s">
        <v>83</v>
      </c>
      <c r="C185" s="16">
        <v>24927.81</v>
      </c>
      <c r="D185" s="16">
        <v>24.34</v>
      </c>
      <c r="E185" s="55" t="s">
        <v>6</v>
      </c>
      <c r="F185" s="16" t="s">
        <v>116</v>
      </c>
      <c r="G185" s="16"/>
      <c r="H185" s="16"/>
      <c r="I185" s="16"/>
    </row>
    <row r="186" spans="1:11" ht="14.45" hidden="1">
      <c r="A186" s="17" t="s">
        <v>304</v>
      </c>
      <c r="B186" s="18" t="s">
        <v>83</v>
      </c>
      <c r="C186" s="17">
        <v>1944.31</v>
      </c>
      <c r="D186" s="17">
        <v>1.9</v>
      </c>
      <c r="E186" s="54" t="s">
        <v>6</v>
      </c>
      <c r="F186" s="17" t="s">
        <v>116</v>
      </c>
      <c r="G186" s="17"/>
      <c r="H186" s="17"/>
      <c r="I186" s="17"/>
    </row>
    <row r="187" spans="1:11" ht="14.45" hidden="1">
      <c r="A187" t="s">
        <v>305</v>
      </c>
      <c r="B187" s="18" t="s">
        <v>83</v>
      </c>
      <c r="C187">
        <v>9280.3799999999992</v>
      </c>
      <c r="D187">
        <v>9.06</v>
      </c>
      <c r="E187" s="3" t="s">
        <v>6</v>
      </c>
      <c r="F187" t="s">
        <v>84</v>
      </c>
    </row>
    <row r="188" spans="1:11" ht="14.45" hidden="1">
      <c r="A188" t="s">
        <v>306</v>
      </c>
      <c r="B188" s="18" t="s">
        <v>83</v>
      </c>
      <c r="C188">
        <v>14947.44</v>
      </c>
      <c r="D188">
        <v>14.6</v>
      </c>
      <c r="E188" s="3" t="s">
        <v>6</v>
      </c>
      <c r="F188" t="s">
        <v>84</v>
      </c>
    </row>
    <row r="189" spans="1:11" ht="14.45" hidden="1">
      <c r="A189" t="s">
        <v>307</v>
      </c>
      <c r="B189" s="18" t="s">
        <v>83</v>
      </c>
      <c r="C189">
        <v>15.19</v>
      </c>
      <c r="D189">
        <v>0.01</v>
      </c>
      <c r="E189" s="19" t="s">
        <v>5</v>
      </c>
      <c r="H189" s="20" t="s">
        <v>89</v>
      </c>
      <c r="K189" s="44" t="s">
        <v>278</v>
      </c>
    </row>
    <row r="190" spans="1:11" ht="14.45" hidden="1">
      <c r="A190" t="s">
        <v>308</v>
      </c>
      <c r="B190" s="18" t="s">
        <v>83</v>
      </c>
      <c r="C190">
        <v>13.56</v>
      </c>
      <c r="D190">
        <v>0.01</v>
      </c>
      <c r="E190" s="19" t="s">
        <v>5</v>
      </c>
      <c r="H190" s="20" t="s">
        <v>89</v>
      </c>
      <c r="K190" s="44" t="s">
        <v>278</v>
      </c>
    </row>
    <row r="191" spans="1:11" ht="14.45" hidden="1">
      <c r="A191" t="s">
        <v>309</v>
      </c>
      <c r="B191" s="18" t="s">
        <v>83</v>
      </c>
      <c r="C191">
        <v>11.81</v>
      </c>
      <c r="D191">
        <v>0.01</v>
      </c>
      <c r="E191" s="19" t="s">
        <v>5</v>
      </c>
      <c r="H191" s="20" t="s">
        <v>89</v>
      </c>
      <c r="K191" s="44" t="s">
        <v>310</v>
      </c>
    </row>
    <row r="192" spans="1:11" ht="14.45" hidden="1">
      <c r="A192" t="s">
        <v>311</v>
      </c>
      <c r="B192" s="18" t="s">
        <v>83</v>
      </c>
      <c r="C192">
        <v>12063.06</v>
      </c>
      <c r="D192">
        <v>11.78</v>
      </c>
      <c r="E192" s="3" t="s">
        <v>6</v>
      </c>
      <c r="F192" t="s">
        <v>84</v>
      </c>
    </row>
    <row r="193" spans="1:11" ht="14.45" hidden="1">
      <c r="A193" t="s">
        <v>312</v>
      </c>
      <c r="B193" s="18" t="s">
        <v>83</v>
      </c>
      <c r="C193">
        <v>88401.31</v>
      </c>
      <c r="D193">
        <v>86.33</v>
      </c>
      <c r="E193" s="3" t="s">
        <v>6</v>
      </c>
      <c r="F193" t="s">
        <v>84</v>
      </c>
    </row>
    <row r="194" spans="1:11" ht="14.45" hidden="1">
      <c r="A194" t="s">
        <v>313</v>
      </c>
      <c r="B194" s="18" t="s">
        <v>83</v>
      </c>
      <c r="C194">
        <v>33412.25</v>
      </c>
      <c r="D194">
        <v>32.630000000000003</v>
      </c>
      <c r="E194" s="3" t="s">
        <v>6</v>
      </c>
      <c r="F194" t="s">
        <v>84</v>
      </c>
    </row>
    <row r="195" spans="1:11" ht="14.45" hidden="1">
      <c r="A195" s="16" t="s">
        <v>314</v>
      </c>
      <c r="B195" s="18" t="s">
        <v>83</v>
      </c>
      <c r="C195" s="16">
        <v>2.31</v>
      </c>
      <c r="D195" s="16">
        <v>0</v>
      </c>
      <c r="E195" s="55" t="s">
        <v>6</v>
      </c>
      <c r="F195" s="16" t="s">
        <v>116</v>
      </c>
      <c r="G195" s="16"/>
      <c r="H195" s="16"/>
      <c r="I195" s="16"/>
    </row>
    <row r="196" spans="1:11" ht="14.45" hidden="1">
      <c r="A196" t="s">
        <v>315</v>
      </c>
      <c r="B196" s="18" t="s">
        <v>83</v>
      </c>
      <c r="C196">
        <v>39932.379999999997</v>
      </c>
      <c r="D196">
        <v>39</v>
      </c>
      <c r="E196" s="3" t="s">
        <v>6</v>
      </c>
      <c r="F196" t="s">
        <v>84</v>
      </c>
    </row>
    <row r="197" spans="1:11" ht="14.45" hidden="1">
      <c r="A197" s="17" t="s">
        <v>316</v>
      </c>
      <c r="B197" s="18" t="s">
        <v>83</v>
      </c>
      <c r="C197" s="17">
        <v>42207.06</v>
      </c>
      <c r="D197" s="17">
        <v>41.22</v>
      </c>
      <c r="E197" s="54" t="s">
        <v>6</v>
      </c>
      <c r="F197" s="17" t="s">
        <v>116</v>
      </c>
      <c r="G197" s="17"/>
      <c r="H197" s="17"/>
      <c r="I197" s="17"/>
    </row>
    <row r="198" spans="1:11" ht="14.45" hidden="1">
      <c r="A198" t="s">
        <v>317</v>
      </c>
      <c r="B198" s="18" t="s">
        <v>83</v>
      </c>
      <c r="C198">
        <v>9.44</v>
      </c>
      <c r="D198">
        <v>0.01</v>
      </c>
      <c r="E198" s="19" t="s">
        <v>5</v>
      </c>
      <c r="H198" s="20" t="s">
        <v>89</v>
      </c>
      <c r="K198" s="44" t="s">
        <v>318</v>
      </c>
    </row>
    <row r="199" spans="1:11" ht="14.45" hidden="1">
      <c r="A199" t="s">
        <v>319</v>
      </c>
      <c r="B199" s="18" t="s">
        <v>83</v>
      </c>
      <c r="C199">
        <v>6980.88</v>
      </c>
      <c r="D199">
        <v>6.82</v>
      </c>
      <c r="E199" s="3" t="s">
        <v>6</v>
      </c>
      <c r="F199" t="s">
        <v>84</v>
      </c>
      <c r="H199" t="s">
        <v>320</v>
      </c>
    </row>
    <row r="200" spans="1:11" ht="14.45" hidden="1">
      <c r="A200" t="s">
        <v>321</v>
      </c>
      <c r="B200" s="18" t="s">
        <v>83</v>
      </c>
      <c r="C200">
        <v>0.19</v>
      </c>
      <c r="D200">
        <v>0</v>
      </c>
      <c r="E200" s="3" t="s">
        <v>6</v>
      </c>
      <c r="F200" t="s">
        <v>84</v>
      </c>
    </row>
    <row r="201" spans="1:11" ht="14.45" hidden="1">
      <c r="A201" s="16" t="s">
        <v>322</v>
      </c>
      <c r="B201" s="18" t="s">
        <v>83</v>
      </c>
      <c r="C201" s="16">
        <v>54525.440000000002</v>
      </c>
      <c r="D201" s="16">
        <v>53.25</v>
      </c>
      <c r="E201" s="55" t="s">
        <v>6</v>
      </c>
      <c r="F201" s="16" t="s">
        <v>116</v>
      </c>
      <c r="G201" s="16"/>
      <c r="H201" s="16"/>
      <c r="I201" s="16"/>
    </row>
    <row r="202" spans="1:11" ht="14.45" hidden="1">
      <c r="A202" t="s">
        <v>323</v>
      </c>
      <c r="B202" s="18" t="s">
        <v>83</v>
      </c>
      <c r="C202">
        <v>9.25</v>
      </c>
      <c r="D202">
        <v>0.01</v>
      </c>
      <c r="E202" s="19" t="s">
        <v>5</v>
      </c>
      <c r="H202" s="20" t="s">
        <v>89</v>
      </c>
      <c r="K202" s="44" t="s">
        <v>324</v>
      </c>
    </row>
    <row r="203" spans="1:11" ht="14.45" hidden="1">
      <c r="A203" s="17" t="s">
        <v>325</v>
      </c>
      <c r="B203" s="18" t="s">
        <v>83</v>
      </c>
      <c r="C203" s="17">
        <v>40.44</v>
      </c>
      <c r="D203" s="17">
        <v>0.04</v>
      </c>
      <c r="E203" s="54" t="s">
        <v>6</v>
      </c>
      <c r="F203" s="17" t="s">
        <v>116</v>
      </c>
      <c r="G203" s="17"/>
      <c r="H203" s="17"/>
      <c r="I203" s="17"/>
    </row>
    <row r="204" spans="1:11" ht="57.95" hidden="1">
      <c r="A204" s="22" t="s">
        <v>326</v>
      </c>
      <c r="B204" s="18" t="s">
        <v>83</v>
      </c>
      <c r="C204" s="22">
        <v>8.8800000000000008</v>
      </c>
      <c r="D204" s="22">
        <v>0.01</v>
      </c>
      <c r="E204" s="51" t="s">
        <v>6</v>
      </c>
      <c r="F204" s="22" t="s">
        <v>84</v>
      </c>
      <c r="G204" s="22"/>
      <c r="H204" s="4" t="s">
        <v>327</v>
      </c>
      <c r="I204" s="4"/>
    </row>
    <row r="205" spans="1:11" ht="14.45" hidden="1">
      <c r="A205" t="s">
        <v>328</v>
      </c>
      <c r="B205" s="18" t="s">
        <v>83</v>
      </c>
      <c r="C205">
        <v>7.94</v>
      </c>
      <c r="D205">
        <v>0.01</v>
      </c>
      <c r="E205" s="19" t="s">
        <v>5</v>
      </c>
      <c r="H205" s="20" t="s">
        <v>89</v>
      </c>
      <c r="K205" s="44" t="s">
        <v>329</v>
      </c>
    </row>
    <row r="206" spans="1:11" ht="14.45" hidden="1">
      <c r="A206" t="s">
        <v>330</v>
      </c>
      <c r="B206" s="18" t="s">
        <v>83</v>
      </c>
      <c r="C206">
        <v>7.81</v>
      </c>
      <c r="D206">
        <v>0.01</v>
      </c>
      <c r="E206" s="19" t="s">
        <v>5</v>
      </c>
      <c r="H206" s="20" t="s">
        <v>89</v>
      </c>
      <c r="K206" s="44" t="s">
        <v>331</v>
      </c>
    </row>
    <row r="207" spans="1:11" ht="14.45" hidden="1">
      <c r="A207" t="s">
        <v>332</v>
      </c>
      <c r="B207" s="18" t="s">
        <v>83</v>
      </c>
      <c r="C207">
        <v>7.19</v>
      </c>
      <c r="D207">
        <v>0.01</v>
      </c>
      <c r="E207" s="19" t="s">
        <v>5</v>
      </c>
      <c r="H207" s="20" t="s">
        <v>89</v>
      </c>
      <c r="K207" s="44" t="s">
        <v>331</v>
      </c>
    </row>
    <row r="208" spans="1:11" ht="43.5" hidden="1">
      <c r="A208" s="16" t="s">
        <v>333</v>
      </c>
      <c r="B208" s="18" t="s">
        <v>83</v>
      </c>
      <c r="C208" s="16">
        <v>98031.94</v>
      </c>
      <c r="D208" s="16">
        <v>95.73</v>
      </c>
      <c r="E208" s="55" t="s">
        <v>6</v>
      </c>
      <c r="F208" s="16" t="s">
        <v>116</v>
      </c>
      <c r="G208" s="16"/>
      <c r="H208" s="21" t="s">
        <v>334</v>
      </c>
      <c r="I208" s="21"/>
    </row>
    <row r="209" spans="1:11" ht="14.45" hidden="1">
      <c r="A209" t="s">
        <v>335</v>
      </c>
      <c r="B209" s="18" t="s">
        <v>83</v>
      </c>
      <c r="C209">
        <v>9305.25</v>
      </c>
      <c r="D209">
        <v>9.09</v>
      </c>
      <c r="E209" s="3" t="s">
        <v>6</v>
      </c>
      <c r="F209" t="s">
        <v>84</v>
      </c>
    </row>
    <row r="210" spans="1:11" ht="14.45" hidden="1">
      <c r="A210" t="s">
        <v>336</v>
      </c>
      <c r="B210" s="18" t="s">
        <v>83</v>
      </c>
      <c r="C210">
        <v>775.25</v>
      </c>
      <c r="D210">
        <v>0.76</v>
      </c>
      <c r="E210" s="3" t="s">
        <v>6</v>
      </c>
      <c r="F210" t="s">
        <v>84</v>
      </c>
    </row>
    <row r="211" spans="1:11" ht="14.45" hidden="1">
      <c r="A211" t="s">
        <v>337</v>
      </c>
      <c r="B211" s="18" t="s">
        <v>83</v>
      </c>
      <c r="C211">
        <v>356430</v>
      </c>
      <c r="D211">
        <v>348.08</v>
      </c>
      <c r="E211" s="3" t="s">
        <v>6</v>
      </c>
      <c r="F211" t="s">
        <v>84</v>
      </c>
    </row>
    <row r="212" spans="1:11" ht="14.45" hidden="1">
      <c r="A212" t="s">
        <v>29</v>
      </c>
      <c r="B212" s="18" t="s">
        <v>83</v>
      </c>
      <c r="C212">
        <v>1.75</v>
      </c>
      <c r="D212">
        <v>0</v>
      </c>
      <c r="E212" s="3" t="s">
        <v>8</v>
      </c>
      <c r="F212" t="s">
        <v>84</v>
      </c>
      <c r="H212" t="s">
        <v>338</v>
      </c>
      <c r="I212" t="s">
        <v>339</v>
      </c>
      <c r="J212" t="s">
        <v>23</v>
      </c>
    </row>
    <row r="213" spans="1:11" s="45" customFormat="1" ht="14.45" hidden="1">
      <c r="A213" s="45" t="s">
        <v>340</v>
      </c>
      <c r="B213" s="46" t="s">
        <v>83</v>
      </c>
      <c r="C213" s="45">
        <v>6</v>
      </c>
      <c r="D213" s="45">
        <v>0.01</v>
      </c>
      <c r="E213" s="47" t="s">
        <v>5</v>
      </c>
      <c r="H213" s="48" t="s">
        <v>89</v>
      </c>
      <c r="K213" s="44" t="s">
        <v>341</v>
      </c>
    </row>
    <row r="214" spans="1:11" ht="14.45" hidden="1">
      <c r="A214" t="s">
        <v>342</v>
      </c>
      <c r="B214" s="18" t="s">
        <v>83</v>
      </c>
      <c r="C214">
        <v>6.19</v>
      </c>
      <c r="D214">
        <v>0.01</v>
      </c>
      <c r="E214" s="19" t="s">
        <v>196</v>
      </c>
      <c r="H214" t="s">
        <v>5</v>
      </c>
    </row>
    <row r="215" spans="1:11" ht="14.45" hidden="1">
      <c r="A215" t="s">
        <v>343</v>
      </c>
      <c r="B215" s="18" t="s">
        <v>83</v>
      </c>
      <c r="C215">
        <v>331.19</v>
      </c>
      <c r="D215">
        <v>0.32</v>
      </c>
      <c r="E215" s="19" t="s">
        <v>196</v>
      </c>
      <c r="H215" t="s">
        <v>5</v>
      </c>
    </row>
    <row r="216" spans="1:11" ht="14.45" hidden="1">
      <c r="A216" t="s">
        <v>344</v>
      </c>
      <c r="B216" s="18" t="s">
        <v>83</v>
      </c>
      <c r="C216">
        <v>175016</v>
      </c>
      <c r="D216">
        <v>170.91</v>
      </c>
      <c r="E216" s="3" t="s">
        <v>6</v>
      </c>
      <c r="F216" t="s">
        <v>84</v>
      </c>
    </row>
    <row r="217" spans="1:11" ht="14.45" hidden="1">
      <c r="A217" t="s">
        <v>345</v>
      </c>
      <c r="B217" s="18" t="s">
        <v>83</v>
      </c>
      <c r="C217">
        <v>5.88</v>
      </c>
      <c r="D217">
        <v>0.01</v>
      </c>
      <c r="E217" s="19" t="s">
        <v>5</v>
      </c>
      <c r="H217" s="20" t="s">
        <v>89</v>
      </c>
      <c r="K217" s="44" t="s">
        <v>346</v>
      </c>
    </row>
    <row r="218" spans="1:11" ht="14.45" hidden="1">
      <c r="A218" s="17" t="s">
        <v>347</v>
      </c>
      <c r="B218" s="18" t="s">
        <v>83</v>
      </c>
      <c r="C218" s="17">
        <v>1120.69</v>
      </c>
      <c r="D218" s="17">
        <v>1.0900000000000001</v>
      </c>
      <c r="E218" s="54" t="s">
        <v>6</v>
      </c>
      <c r="F218" s="17" t="s">
        <v>116</v>
      </c>
      <c r="G218" s="17"/>
      <c r="H218" s="17"/>
      <c r="I218" s="17"/>
    </row>
    <row r="219" spans="1:11" ht="14.45" hidden="1">
      <c r="A219" s="16" t="s">
        <v>348</v>
      </c>
      <c r="B219" s="18" t="s">
        <v>83</v>
      </c>
      <c r="C219" s="16">
        <v>7587.69</v>
      </c>
      <c r="D219" s="16">
        <v>7.41</v>
      </c>
      <c r="E219" s="55" t="s">
        <v>6</v>
      </c>
      <c r="F219" s="16" t="s">
        <v>116</v>
      </c>
      <c r="G219" s="16"/>
      <c r="H219" s="16"/>
      <c r="I219" s="16"/>
    </row>
    <row r="220" spans="1:11" ht="14.45" hidden="1">
      <c r="A220" s="17" t="s">
        <v>349</v>
      </c>
      <c r="B220" s="18" t="s">
        <v>83</v>
      </c>
      <c r="C220" s="17">
        <v>0.25</v>
      </c>
      <c r="D220" s="17">
        <v>0</v>
      </c>
      <c r="E220" s="54" t="s">
        <v>6</v>
      </c>
      <c r="F220" s="17" t="s">
        <v>116</v>
      </c>
      <c r="G220" s="17"/>
      <c r="H220" s="17"/>
      <c r="I220" s="17"/>
    </row>
    <row r="221" spans="1:11" ht="14.45" hidden="1">
      <c r="A221" t="s">
        <v>350</v>
      </c>
      <c r="B221" s="18" t="s">
        <v>83</v>
      </c>
      <c r="C221">
        <v>32.94</v>
      </c>
      <c r="D221">
        <v>0.03</v>
      </c>
      <c r="E221" s="19" t="s">
        <v>5</v>
      </c>
      <c r="F221" t="s">
        <v>84</v>
      </c>
      <c r="H221" t="s">
        <v>351</v>
      </c>
    </row>
    <row r="222" spans="1:11" ht="14.45" hidden="1">
      <c r="A222" t="s">
        <v>70</v>
      </c>
      <c r="B222" s="18" t="s">
        <v>83</v>
      </c>
      <c r="C222">
        <v>0.19</v>
      </c>
      <c r="D222">
        <v>0</v>
      </c>
      <c r="E222" s="3" t="s">
        <v>8</v>
      </c>
      <c r="F222" t="s">
        <v>84</v>
      </c>
    </row>
    <row r="223" spans="1:11" ht="14.45" hidden="1">
      <c r="A223" t="s">
        <v>352</v>
      </c>
      <c r="B223" s="18" t="s">
        <v>83</v>
      </c>
      <c r="C223">
        <v>6.44</v>
      </c>
      <c r="D223">
        <v>0.01</v>
      </c>
      <c r="E223" s="19" t="s">
        <v>5</v>
      </c>
      <c r="F223" t="s">
        <v>84</v>
      </c>
      <c r="H223" t="s">
        <v>351</v>
      </c>
    </row>
    <row r="224" spans="1:11" ht="14.45" hidden="1">
      <c r="A224" t="s">
        <v>353</v>
      </c>
      <c r="B224" s="18" t="s">
        <v>83</v>
      </c>
      <c r="C224">
        <v>6608.5</v>
      </c>
      <c r="D224">
        <v>6.45</v>
      </c>
      <c r="E224" s="19" t="s">
        <v>5</v>
      </c>
      <c r="F224" t="s">
        <v>84</v>
      </c>
      <c r="H224" t="s">
        <v>354</v>
      </c>
    </row>
    <row r="225" spans="1:11" ht="14.45" hidden="1">
      <c r="A225" t="s">
        <v>355</v>
      </c>
      <c r="B225" s="18" t="s">
        <v>83</v>
      </c>
      <c r="C225">
        <v>4.3099999999999996</v>
      </c>
      <c r="D225">
        <v>0</v>
      </c>
      <c r="E225" s="19" t="s">
        <v>5</v>
      </c>
      <c r="H225" s="20" t="s">
        <v>356</v>
      </c>
      <c r="K225" s="44" t="s">
        <v>278</v>
      </c>
    </row>
    <row r="226" spans="1:11" ht="14.45" hidden="1">
      <c r="A226" t="s">
        <v>357</v>
      </c>
      <c r="B226" s="18" t="s">
        <v>83</v>
      </c>
      <c r="C226">
        <v>8</v>
      </c>
      <c r="D226">
        <v>0.01</v>
      </c>
      <c r="E226" s="3" t="s">
        <v>6</v>
      </c>
      <c r="F226" t="s">
        <v>84</v>
      </c>
    </row>
    <row r="227" spans="1:11" ht="14.45" hidden="1">
      <c r="A227" t="s">
        <v>358</v>
      </c>
      <c r="B227" s="18" t="s">
        <v>83</v>
      </c>
      <c r="C227">
        <v>0.88</v>
      </c>
      <c r="D227">
        <v>0</v>
      </c>
      <c r="E227" s="19" t="s">
        <v>196</v>
      </c>
      <c r="H227" t="s">
        <v>5</v>
      </c>
    </row>
    <row r="228" spans="1:11" ht="14.45" hidden="1">
      <c r="A228" t="s">
        <v>359</v>
      </c>
      <c r="B228" s="18" t="s">
        <v>83</v>
      </c>
      <c r="C228">
        <v>13.44</v>
      </c>
      <c r="D228">
        <v>0.01</v>
      </c>
      <c r="E228" s="19" t="s">
        <v>6</v>
      </c>
    </row>
    <row r="229" spans="1:11" ht="14.45" hidden="1">
      <c r="A229" t="s">
        <v>360</v>
      </c>
      <c r="B229" s="18" t="s">
        <v>83</v>
      </c>
      <c r="C229">
        <v>1.56</v>
      </c>
      <c r="D229">
        <v>0</v>
      </c>
      <c r="E229" s="19" t="s">
        <v>6</v>
      </c>
    </row>
    <row r="230" spans="1:11" ht="14.45" hidden="1">
      <c r="A230" t="s">
        <v>361</v>
      </c>
      <c r="B230" s="18" t="s">
        <v>83</v>
      </c>
      <c r="C230">
        <v>113932.69</v>
      </c>
      <c r="D230">
        <v>111.26</v>
      </c>
      <c r="E230" s="3" t="s">
        <v>6</v>
      </c>
      <c r="F230" t="s">
        <v>84</v>
      </c>
    </row>
    <row r="231" spans="1:11" ht="14.45" hidden="1">
      <c r="A231" t="s">
        <v>362</v>
      </c>
      <c r="B231" s="18" t="s">
        <v>83</v>
      </c>
      <c r="C231">
        <v>637.13</v>
      </c>
      <c r="D231">
        <v>0.62</v>
      </c>
      <c r="E231" s="3" t="s">
        <v>6</v>
      </c>
      <c r="F231" t="s">
        <v>84</v>
      </c>
    </row>
    <row r="232" spans="1:11" ht="14.45" hidden="1">
      <c r="A232" t="s">
        <v>363</v>
      </c>
      <c r="B232" s="18" t="s">
        <v>83</v>
      </c>
      <c r="C232">
        <v>767.19</v>
      </c>
      <c r="D232">
        <v>0.75</v>
      </c>
      <c r="E232" s="3" t="s">
        <v>6</v>
      </c>
      <c r="F232" t="s">
        <v>84</v>
      </c>
    </row>
    <row r="233" spans="1:11" ht="14.45" hidden="1">
      <c r="A233" t="s">
        <v>364</v>
      </c>
      <c r="B233" s="18" t="s">
        <v>83</v>
      </c>
      <c r="C233">
        <v>13634.56</v>
      </c>
      <c r="D233">
        <v>13.32</v>
      </c>
      <c r="E233" s="3" t="s">
        <v>6</v>
      </c>
      <c r="F233" t="s">
        <v>84</v>
      </c>
    </row>
    <row r="234" spans="1:11" ht="14.45" hidden="1">
      <c r="A234" t="s">
        <v>365</v>
      </c>
      <c r="B234" s="18" t="s">
        <v>83</v>
      </c>
      <c r="C234">
        <v>4399.3100000000004</v>
      </c>
      <c r="D234">
        <v>4.3</v>
      </c>
      <c r="E234" s="19" t="s">
        <v>8</v>
      </c>
      <c r="F234" t="s">
        <v>84</v>
      </c>
      <c r="H234" t="s">
        <v>366</v>
      </c>
      <c r="I234" t="s">
        <v>367</v>
      </c>
      <c r="J234" t="s">
        <v>50</v>
      </c>
    </row>
    <row r="235" spans="1:11" ht="14.45" hidden="1">
      <c r="A235" t="s">
        <v>368</v>
      </c>
      <c r="B235" s="18" t="s">
        <v>83</v>
      </c>
      <c r="C235">
        <v>4.25</v>
      </c>
      <c r="D235">
        <v>0</v>
      </c>
      <c r="E235" s="19" t="s">
        <v>5</v>
      </c>
      <c r="H235" s="20" t="s">
        <v>89</v>
      </c>
      <c r="K235" s="44" t="s">
        <v>278</v>
      </c>
    </row>
    <row r="236" spans="1:11" ht="14.45" hidden="1">
      <c r="A236" t="s">
        <v>369</v>
      </c>
      <c r="B236" s="18" t="s">
        <v>83</v>
      </c>
      <c r="C236">
        <v>3.5</v>
      </c>
      <c r="D236">
        <v>0</v>
      </c>
      <c r="E236" s="19" t="s">
        <v>5</v>
      </c>
      <c r="H236" s="20" t="s">
        <v>89</v>
      </c>
      <c r="K236" s="50" t="s">
        <v>370</v>
      </c>
    </row>
    <row r="237" spans="1:11" ht="14.45" hidden="1">
      <c r="A237" t="s">
        <v>371</v>
      </c>
      <c r="B237" s="18" t="s">
        <v>83</v>
      </c>
      <c r="C237">
        <v>2.25</v>
      </c>
      <c r="D237">
        <v>0</v>
      </c>
      <c r="E237" s="19" t="s">
        <v>5</v>
      </c>
      <c r="H237" s="20" t="s">
        <v>89</v>
      </c>
      <c r="I237" t="s">
        <v>372</v>
      </c>
      <c r="J237" t="s">
        <v>248</v>
      </c>
      <c r="K237" s="49" t="s">
        <v>373</v>
      </c>
    </row>
    <row r="238" spans="1:11" ht="14.45" hidden="1">
      <c r="A238" s="16" t="s">
        <v>374</v>
      </c>
      <c r="B238" s="18" t="s">
        <v>83</v>
      </c>
      <c r="C238" s="16">
        <v>4756.75</v>
      </c>
      <c r="D238" s="16">
        <v>4.6500000000000004</v>
      </c>
      <c r="E238" s="55" t="s">
        <v>6</v>
      </c>
      <c r="F238" s="16" t="s">
        <v>116</v>
      </c>
      <c r="G238" s="16"/>
      <c r="H238" s="16"/>
      <c r="I238" s="16"/>
    </row>
    <row r="239" spans="1:11" ht="14.45" hidden="1">
      <c r="A239" t="s">
        <v>375</v>
      </c>
      <c r="B239" s="18" t="s">
        <v>83</v>
      </c>
      <c r="C239">
        <v>2.19</v>
      </c>
      <c r="D239">
        <v>0</v>
      </c>
      <c r="E239" s="19" t="s">
        <v>5</v>
      </c>
      <c r="H239" s="20" t="s">
        <v>89</v>
      </c>
      <c r="K239" s="49" t="s">
        <v>373</v>
      </c>
    </row>
    <row r="240" spans="1:11" ht="14.45" hidden="1">
      <c r="A240" t="s">
        <v>376</v>
      </c>
      <c r="B240" s="18" t="s">
        <v>83</v>
      </c>
      <c r="C240">
        <v>1.69</v>
      </c>
      <c r="D240">
        <v>0</v>
      </c>
      <c r="E240" s="19" t="s">
        <v>5</v>
      </c>
      <c r="H240" s="20" t="s">
        <v>89</v>
      </c>
      <c r="K240" s="44" t="s">
        <v>278</v>
      </c>
    </row>
    <row r="241" spans="1:11" ht="14.45">
      <c r="A241" t="s">
        <v>377</v>
      </c>
      <c r="B241" s="18" t="s">
        <v>83</v>
      </c>
      <c r="C241">
        <v>52937.38</v>
      </c>
      <c r="D241">
        <v>51.7</v>
      </c>
      <c r="E241" s="3" t="s">
        <v>6</v>
      </c>
      <c r="F241" t="s">
        <v>101</v>
      </c>
    </row>
    <row r="242" spans="1:11" ht="14.45">
      <c r="A242" t="s">
        <v>378</v>
      </c>
      <c r="B242" s="18" t="s">
        <v>83</v>
      </c>
      <c r="C242">
        <v>198.69</v>
      </c>
      <c r="D242">
        <v>0.19</v>
      </c>
      <c r="E242" s="3" t="s">
        <v>6</v>
      </c>
      <c r="F242" t="s">
        <v>101</v>
      </c>
    </row>
    <row r="243" spans="1:11" ht="14.45" hidden="1">
      <c r="A243" t="s">
        <v>379</v>
      </c>
      <c r="B243" s="18" t="s">
        <v>83</v>
      </c>
      <c r="C243">
        <v>1.69</v>
      </c>
      <c r="D243">
        <v>0</v>
      </c>
      <c r="E243" s="19" t="s">
        <v>5</v>
      </c>
      <c r="H243" s="20" t="s">
        <v>89</v>
      </c>
      <c r="K243" s="49" t="s">
        <v>380</v>
      </c>
    </row>
    <row r="244" spans="1:11" ht="14.45" hidden="1">
      <c r="A244" t="s">
        <v>381</v>
      </c>
      <c r="B244" s="18" t="s">
        <v>83</v>
      </c>
      <c r="C244">
        <v>1.19</v>
      </c>
      <c r="D244">
        <v>0</v>
      </c>
      <c r="E244" s="19" t="s">
        <v>5</v>
      </c>
      <c r="H244" s="20" t="s">
        <v>89</v>
      </c>
      <c r="K244" s="49" t="s">
        <v>382</v>
      </c>
    </row>
    <row r="245" spans="1:11" ht="14.45" hidden="1">
      <c r="A245" t="s">
        <v>383</v>
      </c>
      <c r="B245" s="18" t="s">
        <v>83</v>
      </c>
      <c r="C245">
        <v>0.94</v>
      </c>
      <c r="D245">
        <v>0</v>
      </c>
      <c r="E245" s="19" t="s">
        <v>5</v>
      </c>
      <c r="H245" s="20" t="s">
        <v>89</v>
      </c>
      <c r="K245" s="44" t="s">
        <v>278</v>
      </c>
    </row>
    <row r="246" spans="1:11" ht="14.45" hidden="1">
      <c r="A246" t="s">
        <v>384</v>
      </c>
      <c r="B246" s="18" t="s">
        <v>83</v>
      </c>
      <c r="C246">
        <v>0.94</v>
      </c>
      <c r="D246">
        <v>0</v>
      </c>
      <c r="E246" s="19" t="s">
        <v>5</v>
      </c>
      <c r="H246" s="20" t="s">
        <v>89</v>
      </c>
      <c r="K246" s="49" t="s">
        <v>380</v>
      </c>
    </row>
    <row r="247" spans="1:11" ht="14.45" hidden="1">
      <c r="A247" t="s">
        <v>385</v>
      </c>
      <c r="B247" s="18" t="s">
        <v>83</v>
      </c>
      <c r="C247">
        <v>0.81</v>
      </c>
      <c r="D247">
        <v>0</v>
      </c>
      <c r="E247" s="19" t="s">
        <v>5</v>
      </c>
      <c r="H247" s="20" t="s">
        <v>89</v>
      </c>
      <c r="K247" s="49" t="s">
        <v>373</v>
      </c>
    </row>
    <row r="248" spans="1:11" ht="14.45" hidden="1">
      <c r="A248" t="s">
        <v>386</v>
      </c>
      <c r="B248" s="18" t="s">
        <v>83</v>
      </c>
      <c r="C248">
        <v>11.06</v>
      </c>
      <c r="D248">
        <v>0.01</v>
      </c>
      <c r="E248" s="19" t="s">
        <v>196</v>
      </c>
      <c r="H248" t="s">
        <v>5</v>
      </c>
    </row>
    <row r="249" spans="1:11" ht="14.45" hidden="1">
      <c r="A249" t="s">
        <v>387</v>
      </c>
      <c r="B249" s="18" t="s">
        <v>83</v>
      </c>
      <c r="C249">
        <v>0.56000000000000005</v>
      </c>
      <c r="D249">
        <v>0</v>
      </c>
      <c r="E249" s="19" t="s">
        <v>5</v>
      </c>
      <c r="H249" s="20" t="s">
        <v>89</v>
      </c>
      <c r="K249" s="44" t="s">
        <v>278</v>
      </c>
    </row>
    <row r="250" spans="1:11" ht="14.45" hidden="1">
      <c r="A250" t="s">
        <v>388</v>
      </c>
      <c r="B250" s="18" t="s">
        <v>83</v>
      </c>
      <c r="C250">
        <v>177.44</v>
      </c>
      <c r="D250">
        <v>0.17</v>
      </c>
      <c r="E250" s="19" t="s">
        <v>196</v>
      </c>
      <c r="H250" t="s">
        <v>196</v>
      </c>
    </row>
    <row r="251" spans="1:11" ht="14.45" hidden="1">
      <c r="A251" t="s">
        <v>389</v>
      </c>
      <c r="B251" s="18" t="s">
        <v>83</v>
      </c>
      <c r="C251">
        <v>0.19</v>
      </c>
      <c r="D251">
        <v>0</v>
      </c>
      <c r="E251" s="19" t="s">
        <v>5</v>
      </c>
      <c r="H251" s="20" t="s">
        <v>89</v>
      </c>
      <c r="K251" s="49" t="s">
        <v>382</v>
      </c>
    </row>
    <row r="252" spans="1:11" ht="14.45" hidden="1">
      <c r="A252" t="s">
        <v>390</v>
      </c>
      <c r="B252" s="18" t="s">
        <v>83</v>
      </c>
      <c r="C252">
        <v>48.44</v>
      </c>
      <c r="D252">
        <v>0.05</v>
      </c>
      <c r="E252" s="19" t="s">
        <v>196</v>
      </c>
      <c r="H252" t="s">
        <v>5</v>
      </c>
    </row>
    <row r="253" spans="1:11" ht="14.45" hidden="1">
      <c r="A253" t="s">
        <v>391</v>
      </c>
      <c r="B253" s="18" t="s">
        <v>83</v>
      </c>
      <c r="C253">
        <v>0.13</v>
      </c>
      <c r="D253">
        <v>0</v>
      </c>
      <c r="E253" s="19" t="s">
        <v>5</v>
      </c>
      <c r="H253" s="20" t="s">
        <v>89</v>
      </c>
      <c r="K253" s="44" t="s">
        <v>392</v>
      </c>
    </row>
    <row r="254" spans="1:11" ht="14.45" hidden="1">
      <c r="A254" t="s">
        <v>393</v>
      </c>
      <c r="B254" s="18" t="s">
        <v>83</v>
      </c>
      <c r="C254">
        <v>0.13</v>
      </c>
      <c r="D254">
        <v>0</v>
      </c>
      <c r="E254" s="19" t="s">
        <v>5</v>
      </c>
      <c r="H254" s="20" t="s">
        <v>89</v>
      </c>
      <c r="K254" s="49" t="s">
        <v>382</v>
      </c>
    </row>
    <row r="255" spans="1:11" ht="14.45" hidden="1">
      <c r="A255" t="s">
        <v>394</v>
      </c>
      <c r="B255" s="18" t="s">
        <v>83</v>
      </c>
      <c r="C255">
        <v>0.13</v>
      </c>
      <c r="D255">
        <v>0</v>
      </c>
      <c r="E255" s="19" t="s">
        <v>5</v>
      </c>
      <c r="H255" s="20" t="s">
        <v>89</v>
      </c>
      <c r="K255" s="49" t="s">
        <v>382</v>
      </c>
    </row>
    <row r="257" spans="4:5" ht="14.45">
      <c r="D257">
        <f>SUM(Taula5[GB])</f>
        <v>6310.1900000000123</v>
      </c>
    </row>
    <row r="260" spans="4:5" ht="14.45">
      <c r="E260" s="3" t="s">
        <v>395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CC41-86B5-450D-80FB-09103FE60C15}">
  <dimension ref="A1:D109"/>
  <sheetViews>
    <sheetView workbookViewId="0">
      <selection activeCell="F95" sqref="F95"/>
    </sheetView>
  </sheetViews>
  <sheetFormatPr defaultRowHeight="14.45"/>
  <cols>
    <col min="1" max="1" width="25.42578125" customWidth="1"/>
    <col min="2" max="2" width="30.140625" bestFit="1" customWidth="1"/>
    <col min="4" max="4" width="47.85546875" customWidth="1"/>
  </cols>
  <sheetData>
    <row r="1" spans="1:4">
      <c r="A1" t="s">
        <v>396</v>
      </c>
      <c r="B1" s="35" t="s">
        <v>307</v>
      </c>
      <c r="C1" t="s">
        <v>397</v>
      </c>
      <c r="D1" t="str">
        <f>CONCATENATE(A1,TRIM(B1),C1)</f>
        <v>OR UPPER(text) LIKE '%ADSL.%'</v>
      </c>
    </row>
    <row r="2" spans="1:4">
      <c r="A2" t="s">
        <v>396</v>
      </c>
      <c r="B2" s="15" t="s">
        <v>65</v>
      </c>
      <c r="C2" t="s">
        <v>397</v>
      </c>
      <c r="D2" t="str">
        <f t="shared" ref="D2:D65" si="0">CONCATENATE(A2,TRIM(B2),C2)</f>
        <v>OR UPPER(text) LIKE '%AM10_38136279W.%'</v>
      </c>
    </row>
    <row r="3" spans="1:4">
      <c r="A3" t="s">
        <v>396</v>
      </c>
      <c r="B3" s="35" t="s">
        <v>93</v>
      </c>
      <c r="C3" t="s">
        <v>397</v>
      </c>
      <c r="D3" t="str">
        <f t="shared" si="0"/>
        <v>OR UPPER(text) LIKE '%APEX_SSO.%'</v>
      </c>
    </row>
    <row r="4" spans="1:4">
      <c r="A4" t="s">
        <v>396</v>
      </c>
      <c r="B4" s="15" t="s">
        <v>387</v>
      </c>
      <c r="C4" t="s">
        <v>397</v>
      </c>
      <c r="D4" t="str">
        <f t="shared" si="0"/>
        <v>OR UPPER(text) LIKE '%AUDITORI.%'</v>
      </c>
    </row>
    <row r="5" spans="1:4">
      <c r="A5" t="s">
        <v>396</v>
      </c>
      <c r="B5" s="35" t="s">
        <v>355</v>
      </c>
      <c r="C5" t="s">
        <v>397</v>
      </c>
      <c r="D5" t="str">
        <f t="shared" si="0"/>
        <v>OR UPPER(text) LIKE '%BIPUBSCHED.%'</v>
      </c>
    </row>
    <row r="6" spans="1:4">
      <c r="A6" t="s">
        <v>396</v>
      </c>
      <c r="B6" s="15" t="s">
        <v>391</v>
      </c>
      <c r="C6" t="s">
        <v>397</v>
      </c>
      <c r="D6" t="str">
        <f t="shared" si="0"/>
        <v>OR UPPER(text) LIKE '%DIRCENT.%'</v>
      </c>
    </row>
    <row r="7" spans="1:4">
      <c r="A7" t="s">
        <v>396</v>
      </c>
      <c r="B7" s="35" t="s">
        <v>308</v>
      </c>
      <c r="C7" t="s">
        <v>397</v>
      </c>
      <c r="D7" t="str">
        <f t="shared" si="0"/>
        <v>OR UPPER(text) LIKE '%DUPLIXTEC.%'</v>
      </c>
    </row>
    <row r="8" spans="1:4">
      <c r="A8" t="s">
        <v>396</v>
      </c>
      <c r="B8" s="5" t="s">
        <v>33</v>
      </c>
      <c r="C8" t="s">
        <v>397</v>
      </c>
      <c r="D8" t="str">
        <f t="shared" si="0"/>
        <v>OR UPPER(text) LIKE '%E13_ADPD.%'</v>
      </c>
    </row>
    <row r="9" spans="1:4">
      <c r="A9" t="s">
        <v>396</v>
      </c>
      <c r="B9" s="35" t="s">
        <v>119</v>
      </c>
      <c r="C9" t="s">
        <v>397</v>
      </c>
      <c r="D9" t="str">
        <f t="shared" si="0"/>
        <v>OR UPPER(text) LIKE '%E13_AFD.%'</v>
      </c>
    </row>
    <row r="10" spans="1:4">
      <c r="A10" t="s">
        <v>396</v>
      </c>
      <c r="B10" s="11" t="s">
        <v>35</v>
      </c>
      <c r="C10" t="s">
        <v>397</v>
      </c>
      <c r="D10" t="str">
        <f t="shared" si="0"/>
        <v>OR UPPER(text) LIKE '%E13_AJUTS.%'</v>
      </c>
    </row>
    <row r="11" spans="1:4">
      <c r="A11" t="s">
        <v>396</v>
      </c>
      <c r="B11" s="35" t="s">
        <v>383</v>
      </c>
      <c r="C11" t="s">
        <v>397</v>
      </c>
      <c r="D11" t="str">
        <f t="shared" si="0"/>
        <v>OR UPPER(text) LIKE '%E13_APACTIU.%'</v>
      </c>
    </row>
    <row r="12" spans="1:4">
      <c r="A12" t="s">
        <v>396</v>
      </c>
      <c r="B12" s="15" t="s">
        <v>128</v>
      </c>
      <c r="C12" t="s">
        <v>397</v>
      </c>
      <c r="D12" t="str">
        <f t="shared" si="0"/>
        <v>OR UPPER(text) LIKE '%E13_APBLOE.%'</v>
      </c>
    </row>
    <row r="13" spans="1:4">
      <c r="A13" t="s">
        <v>396</v>
      </c>
      <c r="B13" s="35" t="s">
        <v>243</v>
      </c>
      <c r="C13" t="s">
        <v>397</v>
      </c>
      <c r="D13" t="str">
        <f t="shared" si="0"/>
        <v>OR UPPER(text) LIKE '%E13_APD_0607.%'</v>
      </c>
    </row>
    <row r="14" spans="1:4">
      <c r="A14" t="s">
        <v>396</v>
      </c>
      <c r="B14" s="5" t="s">
        <v>66</v>
      </c>
      <c r="C14" t="s">
        <v>397</v>
      </c>
      <c r="D14" t="str">
        <f t="shared" si="0"/>
        <v>OR UPPER(text) LIKE '%E13_APE_1011.%'</v>
      </c>
    </row>
    <row r="15" spans="1:4">
      <c r="A15" t="s">
        <v>396</v>
      </c>
      <c r="B15" s="36" t="s">
        <v>67</v>
      </c>
      <c r="C15" t="s">
        <v>397</v>
      </c>
      <c r="D15" t="str">
        <f t="shared" si="0"/>
        <v>OR UPPER(text) LIKE '%E13_APE_1112.%'</v>
      </c>
    </row>
    <row r="16" spans="1:4">
      <c r="A16" t="s">
        <v>396</v>
      </c>
      <c r="B16" s="5" t="s">
        <v>68</v>
      </c>
      <c r="C16" t="s">
        <v>397</v>
      </c>
      <c r="D16" t="str">
        <f t="shared" si="0"/>
        <v>OR UPPER(text) LIKE '%E13_APE_1213.%'</v>
      </c>
    </row>
    <row r="17" spans="1:4">
      <c r="A17" t="s">
        <v>396</v>
      </c>
      <c r="B17" s="36" t="s">
        <v>36</v>
      </c>
      <c r="C17" t="s">
        <v>397</v>
      </c>
      <c r="D17" t="str">
        <f t="shared" si="0"/>
        <v>OR UPPER(text) LIKE '%E13_ASD.%'</v>
      </c>
    </row>
    <row r="18" spans="1:4">
      <c r="A18" t="s">
        <v>396</v>
      </c>
      <c r="B18" s="5" t="s">
        <v>38</v>
      </c>
      <c r="C18" t="s">
        <v>397</v>
      </c>
      <c r="D18" t="str">
        <f t="shared" si="0"/>
        <v>OR UPPER(text) LIKE '%E13_ASD_PUBLI.%'</v>
      </c>
    </row>
    <row r="19" spans="1:4">
      <c r="A19" t="s">
        <v>396</v>
      </c>
      <c r="B19" s="35" t="s">
        <v>185</v>
      </c>
      <c r="C19" t="s">
        <v>397</v>
      </c>
      <c r="D19" t="str">
        <f t="shared" si="0"/>
        <v>OR UPPER(text) LIKE '%E13_ASI.%'</v>
      </c>
    </row>
    <row r="20" spans="1:4">
      <c r="A20" t="s">
        <v>396</v>
      </c>
      <c r="B20" s="15" t="s">
        <v>16</v>
      </c>
      <c r="C20" t="s">
        <v>397</v>
      </c>
      <c r="D20" t="str">
        <f t="shared" si="0"/>
        <v>OR UPPER(text) LIKE '%E13_AUP.%'</v>
      </c>
    </row>
    <row r="21" spans="1:4">
      <c r="A21" t="s">
        <v>396</v>
      </c>
      <c r="B21" s="35" t="s">
        <v>18</v>
      </c>
      <c r="C21" t="s">
        <v>397</v>
      </c>
      <c r="D21" t="str">
        <f t="shared" si="0"/>
        <v>OR UPPER(text) LIKE '%E13_BAG.%'</v>
      </c>
    </row>
    <row r="22" spans="1:4">
      <c r="A22" t="s">
        <v>396</v>
      </c>
      <c r="B22" s="8" t="s">
        <v>40</v>
      </c>
      <c r="C22" t="s">
        <v>397</v>
      </c>
      <c r="D22" t="str">
        <f t="shared" si="0"/>
        <v>OR UPPER(text) LIKE '%E13_BAR.%'</v>
      </c>
    </row>
    <row r="23" spans="1:4">
      <c r="A23" t="s">
        <v>396</v>
      </c>
      <c r="B23" s="35" t="s">
        <v>384</v>
      </c>
      <c r="C23" t="s">
        <v>397</v>
      </c>
      <c r="D23" t="str">
        <f t="shared" si="0"/>
        <v>OR UPPER(text) LIKE '%E13_BO_NICE.%'</v>
      </c>
    </row>
    <row r="24" spans="1:4">
      <c r="A24" t="s">
        <v>396</v>
      </c>
      <c r="B24" s="8" t="s">
        <v>42</v>
      </c>
      <c r="C24" t="s">
        <v>397</v>
      </c>
      <c r="D24" t="str">
        <f t="shared" si="0"/>
        <v>OR UPPER(text) LIKE '%E13_BOR_CMO.%'</v>
      </c>
    </row>
    <row r="25" spans="1:4">
      <c r="A25" t="s">
        <v>396</v>
      </c>
      <c r="B25" s="5" t="s">
        <v>44</v>
      </c>
      <c r="C25" t="s">
        <v>397</v>
      </c>
      <c r="D25" t="str">
        <f t="shared" si="0"/>
        <v>OR UPPER(text) LIKE '%E13_BOR2.%'</v>
      </c>
    </row>
    <row r="26" spans="1:4">
      <c r="A26" t="s">
        <v>396</v>
      </c>
      <c r="B26" s="15" t="s">
        <v>69</v>
      </c>
      <c r="C26" t="s">
        <v>397</v>
      </c>
      <c r="D26" t="str">
        <f t="shared" si="0"/>
        <v>OR UPPER(text) LIKE '%E13_CARTERA.%'</v>
      </c>
    </row>
    <row r="27" spans="1:4">
      <c r="A27" t="s">
        <v>396</v>
      </c>
      <c r="B27" s="35" t="s">
        <v>71</v>
      </c>
      <c r="C27" t="s">
        <v>397</v>
      </c>
      <c r="D27" t="str">
        <f t="shared" si="0"/>
        <v>OR UPPER(text) LIKE '%E13_CAT_PROF.%'</v>
      </c>
    </row>
    <row r="28" spans="1:4">
      <c r="A28" t="s">
        <v>396</v>
      </c>
      <c r="B28" s="15" t="s">
        <v>199</v>
      </c>
      <c r="C28" t="s">
        <v>397</v>
      </c>
      <c r="D28" t="str">
        <f t="shared" si="0"/>
        <v>OR UPPER(text) LIKE '%E13_CAT_SERVEIS.%'</v>
      </c>
    </row>
    <row r="29" spans="1:4">
      <c r="A29" t="s">
        <v>396</v>
      </c>
      <c r="B29" s="35" t="s">
        <v>376</v>
      </c>
      <c r="C29" t="s">
        <v>397</v>
      </c>
      <c r="D29" t="str">
        <f t="shared" si="0"/>
        <v>OR UPPER(text) LIKE '%E13_CED.%'</v>
      </c>
    </row>
    <row r="30" spans="1:4">
      <c r="A30" t="s">
        <v>396</v>
      </c>
      <c r="B30" s="37" t="s">
        <v>167</v>
      </c>
      <c r="C30" t="s">
        <v>397</v>
      </c>
      <c r="D30" t="str">
        <f t="shared" si="0"/>
        <v>OR UPPER(text) LIKE '%E13_CMF.%'</v>
      </c>
    </row>
    <row r="31" spans="1:4">
      <c r="A31" t="s">
        <v>396</v>
      </c>
      <c r="B31" s="38" t="s">
        <v>368</v>
      </c>
      <c r="C31" t="s">
        <v>397</v>
      </c>
      <c r="D31" t="str">
        <f t="shared" si="0"/>
        <v>OR UPPER(text) LIKE '%E13_CON_MENORS.%'</v>
      </c>
    </row>
    <row r="32" spans="1:4">
      <c r="A32" t="s">
        <v>396</v>
      </c>
      <c r="B32" s="37" t="s">
        <v>277</v>
      </c>
      <c r="C32" t="s">
        <v>397</v>
      </c>
      <c r="D32" t="str">
        <f t="shared" si="0"/>
        <v>OR UPPER(text) LIKE '%E13_CONSELLERIA.%'</v>
      </c>
    </row>
    <row r="33" spans="1:4">
      <c r="A33" t="s">
        <v>396</v>
      </c>
      <c r="B33" s="38" t="s">
        <v>345</v>
      </c>
      <c r="C33" t="s">
        <v>397</v>
      </c>
      <c r="D33" t="str">
        <f t="shared" si="0"/>
        <v>OR UPPER(text) LIKE '%E13_CONV.%'</v>
      </c>
    </row>
    <row r="34" spans="1:4">
      <c r="A34" t="s">
        <v>396</v>
      </c>
      <c r="B34" s="37" t="s">
        <v>163</v>
      </c>
      <c r="C34" t="s">
        <v>397</v>
      </c>
      <c r="D34" t="str">
        <f t="shared" si="0"/>
        <v>OR UPPER(text) LIKE '%E13_CONVOVT.%'</v>
      </c>
    </row>
    <row r="35" spans="1:4">
      <c r="A35" t="s">
        <v>396</v>
      </c>
      <c r="B35" s="38" t="s">
        <v>176</v>
      </c>
      <c r="C35" t="s">
        <v>397</v>
      </c>
      <c r="D35" t="str">
        <f t="shared" si="0"/>
        <v>OR UPPER(text) LIKE '%E13_D1X1.%'</v>
      </c>
    </row>
    <row r="36" spans="1:4">
      <c r="A36" t="s">
        <v>396</v>
      </c>
      <c r="B36" s="37" t="s">
        <v>389</v>
      </c>
      <c r="C36" t="s">
        <v>397</v>
      </c>
      <c r="D36" t="str">
        <f t="shared" si="0"/>
        <v>OR UPPER(text) LIKE '%E13_DMA_ATIC.%'</v>
      </c>
    </row>
    <row r="37" spans="1:4">
      <c r="A37" t="s">
        <v>396</v>
      </c>
      <c r="B37" s="38" t="s">
        <v>381</v>
      </c>
      <c r="C37" t="s">
        <v>397</v>
      </c>
      <c r="D37" t="str">
        <f t="shared" si="0"/>
        <v>OR UPPER(text) LIKE '%E13_EDUROAM.%'</v>
      </c>
    </row>
    <row r="38" spans="1:4">
      <c r="A38" t="s">
        <v>396</v>
      </c>
      <c r="B38" s="37" t="s">
        <v>371</v>
      </c>
      <c r="C38" t="s">
        <v>397</v>
      </c>
      <c r="D38" t="str">
        <f t="shared" si="0"/>
        <v>OR UPPER(text) LIKE '%E13_ENQ.%'</v>
      </c>
    </row>
    <row r="39" spans="1:4">
      <c r="A39" t="s">
        <v>396</v>
      </c>
      <c r="B39" s="38" t="s">
        <v>103</v>
      </c>
      <c r="C39" t="s">
        <v>397</v>
      </c>
      <c r="D39" t="str">
        <f t="shared" si="0"/>
        <v>OR UPPER(text) LIKE '%E13_ESPINA_BD.%'</v>
      </c>
    </row>
    <row r="40" spans="1:4">
      <c r="A40" t="s">
        <v>396</v>
      </c>
      <c r="B40" s="37" t="s">
        <v>323</v>
      </c>
      <c r="C40" t="s">
        <v>397</v>
      </c>
      <c r="D40" t="str">
        <f t="shared" si="0"/>
        <v>OR UPPER(text) LIKE '%E13_GAP.%'</v>
      </c>
    </row>
    <row r="41" spans="1:4">
      <c r="A41" t="s">
        <v>396</v>
      </c>
      <c r="B41" s="38" t="s">
        <v>379</v>
      </c>
      <c r="C41" t="s">
        <v>397</v>
      </c>
      <c r="D41" t="str">
        <f t="shared" si="0"/>
        <v>OR UPPER(text) LIKE '%E13_GESATIC.%'</v>
      </c>
    </row>
    <row r="42" spans="1:4">
      <c r="A42" t="s">
        <v>396</v>
      </c>
      <c r="B42" s="37" t="s">
        <v>193</v>
      </c>
      <c r="C42" t="s">
        <v>397</v>
      </c>
      <c r="D42" t="str">
        <f t="shared" si="0"/>
        <v>OR UPPER(text) LIKE '%E13_GESTIO_EDIFICI.%'</v>
      </c>
    </row>
    <row r="43" spans="1:4">
      <c r="A43" t="s">
        <v>396</v>
      </c>
      <c r="B43" s="38" t="s">
        <v>94</v>
      </c>
      <c r="C43" t="s">
        <v>397</v>
      </c>
      <c r="D43" t="str">
        <f t="shared" si="0"/>
        <v>OR UPPER(text) LIKE '%E13_GICARSM.%'</v>
      </c>
    </row>
    <row r="44" spans="1:4">
      <c r="A44" t="s">
        <v>396</v>
      </c>
      <c r="B44" s="37" t="s">
        <v>309</v>
      </c>
      <c r="C44" t="s">
        <v>397</v>
      </c>
      <c r="D44" t="str">
        <f t="shared" si="0"/>
        <v>OR UPPER(text) LIKE '%E13_GRIP.%'</v>
      </c>
    </row>
    <row r="45" spans="1:4">
      <c r="A45" t="s">
        <v>396</v>
      </c>
      <c r="B45" s="38" t="s">
        <v>209</v>
      </c>
      <c r="C45" t="s">
        <v>397</v>
      </c>
      <c r="D45" t="str">
        <f t="shared" si="0"/>
        <v>OR UPPER(text) LIKE '%E13_GSA_AUC.%'</v>
      </c>
    </row>
    <row r="46" spans="1:4">
      <c r="A46" t="s">
        <v>396</v>
      </c>
      <c r="B46" s="37" t="s">
        <v>220</v>
      </c>
      <c r="C46" t="s">
        <v>397</v>
      </c>
      <c r="D46" t="str">
        <f t="shared" si="0"/>
        <v>OR UPPER(text) LIKE '%E13_GSA_UC.%'</v>
      </c>
    </row>
    <row r="47" spans="1:4">
      <c r="A47" t="s">
        <v>396</v>
      </c>
      <c r="B47" s="39" t="s">
        <v>46</v>
      </c>
      <c r="C47" t="s">
        <v>397</v>
      </c>
      <c r="D47" t="str">
        <f t="shared" si="0"/>
        <v>OR UPPER(text) LIKE '%E13_GSD_AJUTS.%'</v>
      </c>
    </row>
    <row r="48" spans="1:4">
      <c r="A48" t="s">
        <v>396</v>
      </c>
      <c r="B48" s="39" t="s">
        <v>47</v>
      </c>
      <c r="C48" t="s">
        <v>397</v>
      </c>
      <c r="D48" t="str">
        <f t="shared" si="0"/>
        <v>OR UPPER(text) LIKE '%E13_GSD_CAT_CON.%'</v>
      </c>
    </row>
    <row r="49" spans="1:4">
      <c r="A49" t="s">
        <v>396</v>
      </c>
      <c r="B49" s="40" t="s">
        <v>49</v>
      </c>
      <c r="C49" t="s">
        <v>397</v>
      </c>
      <c r="D49" t="str">
        <f t="shared" si="0"/>
        <v>OR UPPER(text) LIKE '%E13_GSD_ESP.%'</v>
      </c>
    </row>
    <row r="50" spans="1:4">
      <c r="A50" t="s">
        <v>396</v>
      </c>
      <c r="B50" s="40" t="s">
        <v>51</v>
      </c>
      <c r="C50" t="s">
        <v>397</v>
      </c>
      <c r="D50" t="str">
        <f t="shared" si="0"/>
        <v>OR UPPER(text) LIKE '%E13_GSD_LLENGUES.%'</v>
      </c>
    </row>
    <row r="51" spans="1:4">
      <c r="A51" t="s">
        <v>396</v>
      </c>
      <c r="B51" s="41" t="s">
        <v>53</v>
      </c>
      <c r="C51" t="s">
        <v>397</v>
      </c>
      <c r="D51" t="str">
        <f t="shared" si="0"/>
        <v>OR UPPER(text) LIKE '%E13_GSD_LLICENCIES.%'</v>
      </c>
    </row>
    <row r="52" spans="1:4">
      <c r="A52" t="s">
        <v>396</v>
      </c>
      <c r="B52" s="39" t="s">
        <v>55</v>
      </c>
      <c r="C52" t="s">
        <v>397</v>
      </c>
      <c r="D52" t="str">
        <f t="shared" si="0"/>
        <v>OR UPPER(text) LIKE '%E13_GSD_LLICENCIES_D.%'</v>
      </c>
    </row>
    <row r="53" spans="1:4">
      <c r="A53" t="s">
        <v>396</v>
      </c>
      <c r="B53" s="40" t="s">
        <v>57</v>
      </c>
      <c r="C53" t="s">
        <v>397</v>
      </c>
      <c r="D53" t="str">
        <f t="shared" si="0"/>
        <v>OR UPPER(text) LIKE '%E13_GSD_OPO.%'</v>
      </c>
    </row>
    <row r="54" spans="1:4">
      <c r="A54" t="s">
        <v>396</v>
      </c>
      <c r="B54" s="37" t="s">
        <v>229</v>
      </c>
      <c r="C54" t="s">
        <v>397</v>
      </c>
      <c r="D54" t="str">
        <f t="shared" si="0"/>
        <v>OR UPPER(text) LIKE '%E13_GTE.%'</v>
      </c>
    </row>
    <row r="55" spans="1:4">
      <c r="A55" t="s">
        <v>396</v>
      </c>
      <c r="B55" s="38" t="s">
        <v>232</v>
      </c>
      <c r="C55" t="s">
        <v>397</v>
      </c>
      <c r="D55" t="str">
        <f t="shared" si="0"/>
        <v>OR UPPER(text) LIKE '%E13_GTE_ANE.%'</v>
      </c>
    </row>
    <row r="56" spans="1:4">
      <c r="A56" t="s">
        <v>396</v>
      </c>
      <c r="B56" s="37" t="s">
        <v>233</v>
      </c>
      <c r="C56" t="s">
        <v>397</v>
      </c>
      <c r="D56" t="str">
        <f t="shared" si="0"/>
        <v>OR UPPER(text) LIKE '%E13_GTE_CAT.%'</v>
      </c>
    </row>
    <row r="57" spans="1:4">
      <c r="A57" t="s">
        <v>396</v>
      </c>
      <c r="B57" s="38" t="s">
        <v>234</v>
      </c>
      <c r="C57" t="s">
        <v>397</v>
      </c>
      <c r="D57" t="str">
        <f t="shared" si="0"/>
        <v>OR UPPER(text) LIKE '%E13_GTE_PAS.%'</v>
      </c>
    </row>
    <row r="58" spans="1:4">
      <c r="A58" t="s">
        <v>396</v>
      </c>
      <c r="B58" s="37" t="s">
        <v>240</v>
      </c>
      <c r="C58" t="s">
        <v>397</v>
      </c>
      <c r="D58" t="str">
        <f t="shared" si="0"/>
        <v>OR UPPER(text) LIKE '%E13_IDA.%'</v>
      </c>
    </row>
    <row r="59" spans="1:4">
      <c r="A59" t="s">
        <v>396</v>
      </c>
      <c r="B59" s="38" t="s">
        <v>150</v>
      </c>
      <c r="C59" t="s">
        <v>397</v>
      </c>
      <c r="D59" t="str">
        <f t="shared" si="0"/>
        <v>OR UPPER(text) LIKE '%E13_INSITU.%'</v>
      </c>
    </row>
    <row r="60" spans="1:4">
      <c r="A60" t="s">
        <v>396</v>
      </c>
      <c r="B60" s="37" t="s">
        <v>171</v>
      </c>
      <c r="C60" t="s">
        <v>397</v>
      </c>
      <c r="D60" t="str">
        <f t="shared" si="0"/>
        <v>OR UPPER(text) LIKE '%E13_JIRA.%'</v>
      </c>
    </row>
    <row r="61" spans="1:4">
      <c r="A61" t="s">
        <v>396</v>
      </c>
      <c r="B61" s="39" t="s">
        <v>59</v>
      </c>
      <c r="C61" t="s">
        <v>397</v>
      </c>
      <c r="D61" t="str">
        <f t="shared" si="0"/>
        <v>OR UPPER(text) LIKE '%E13_LLENGUES.%'</v>
      </c>
    </row>
    <row r="62" spans="1:4">
      <c r="A62" t="s">
        <v>396</v>
      </c>
      <c r="B62" s="42" t="s">
        <v>60</v>
      </c>
      <c r="C62" t="s">
        <v>397</v>
      </c>
      <c r="D62" t="str">
        <f t="shared" si="0"/>
        <v>OR UPPER(text) LIKE '%E13_LLICENCIES.%'</v>
      </c>
    </row>
    <row r="63" spans="1:4">
      <c r="A63" t="s">
        <v>396</v>
      </c>
      <c r="B63" s="38" t="s">
        <v>161</v>
      </c>
      <c r="C63" t="s">
        <v>397</v>
      </c>
      <c r="D63" t="str">
        <f t="shared" si="0"/>
        <v>OR UPPER(text) LIKE '%E13_MBAE.%'</v>
      </c>
    </row>
    <row r="64" spans="1:4">
      <c r="A64" t="s">
        <v>396</v>
      </c>
      <c r="B64" s="37" t="s">
        <v>258</v>
      </c>
      <c r="C64" t="s">
        <v>397</v>
      </c>
      <c r="D64" t="str">
        <f t="shared" si="0"/>
        <v>OR UPPER(text) LIKE '%E13_MTC.%'</v>
      </c>
    </row>
    <row r="65" spans="1:4">
      <c r="A65" t="s">
        <v>396</v>
      </c>
      <c r="B65" s="40" t="s">
        <v>61</v>
      </c>
      <c r="C65" t="s">
        <v>397</v>
      </c>
      <c r="D65" t="str">
        <f t="shared" si="0"/>
        <v>OR UPPER(text) LIKE '%E13_OFERTA_BCK.%'</v>
      </c>
    </row>
    <row r="66" spans="1:4">
      <c r="A66" t="s">
        <v>396</v>
      </c>
      <c r="B66" s="43" t="s">
        <v>62</v>
      </c>
      <c r="C66" t="s">
        <v>397</v>
      </c>
      <c r="D66" t="str">
        <f t="shared" ref="D66:D109" si="1">CONCATENATE(A66,TRIM(B66),C66)</f>
        <v>OR UPPER(text) LIKE '%E13_OPO.%'</v>
      </c>
    </row>
    <row r="67" spans="1:4">
      <c r="A67" t="s">
        <v>396</v>
      </c>
      <c r="B67" s="40" t="s">
        <v>63</v>
      </c>
      <c r="C67" t="s">
        <v>397</v>
      </c>
      <c r="D67" t="str">
        <f t="shared" si="1"/>
        <v>OR UPPER(text) LIKE '%E13_OPOSPAS.%'</v>
      </c>
    </row>
    <row r="68" spans="1:4">
      <c r="A68" t="s">
        <v>396</v>
      </c>
      <c r="B68" s="37" t="s">
        <v>19</v>
      </c>
      <c r="C68" t="s">
        <v>397</v>
      </c>
      <c r="D68" t="str">
        <f t="shared" si="1"/>
        <v>OR UPPER(text) LIKE '%E13_PAV.%'</v>
      </c>
    </row>
    <row r="69" spans="1:4">
      <c r="A69" t="s">
        <v>396</v>
      </c>
      <c r="B69" s="38" t="s">
        <v>272</v>
      </c>
      <c r="C69" t="s">
        <v>397</v>
      </c>
      <c r="D69" t="str">
        <f t="shared" si="1"/>
        <v>OR UPPER(text) LIKE '%E13_PAV_IAS.%'</v>
      </c>
    </row>
    <row r="70" spans="1:4">
      <c r="A70" t="s">
        <v>396</v>
      </c>
      <c r="B70" s="37" t="s">
        <v>273</v>
      </c>
      <c r="C70" t="s">
        <v>397</v>
      </c>
      <c r="D70" t="str">
        <f t="shared" si="1"/>
        <v>OR UPPER(text) LIKE '%E13_PAV_SIDENT.%'</v>
      </c>
    </row>
    <row r="71" spans="1:4">
      <c r="A71" t="s">
        <v>396</v>
      </c>
      <c r="B71" s="38" t="s">
        <v>201</v>
      </c>
      <c r="C71" t="s">
        <v>397</v>
      </c>
      <c r="D71" t="str">
        <f t="shared" si="1"/>
        <v>OR UPPER(text) LIKE '%E13_PCONV.%'</v>
      </c>
    </row>
    <row r="72" spans="1:4">
      <c r="A72" t="s">
        <v>396</v>
      </c>
      <c r="B72" s="37" t="s">
        <v>205</v>
      </c>
      <c r="C72" t="s">
        <v>397</v>
      </c>
      <c r="D72" t="str">
        <f t="shared" si="1"/>
        <v>OR UPPER(text) LIKE '%E13_PDP.%'</v>
      </c>
    </row>
    <row r="73" spans="1:4">
      <c r="A73" t="s">
        <v>396</v>
      </c>
      <c r="B73" s="38" t="s">
        <v>385</v>
      </c>
      <c r="C73" t="s">
        <v>397</v>
      </c>
      <c r="D73" t="str">
        <f t="shared" si="1"/>
        <v>OR UPPER(text) LIKE '%E13_PILE.%'</v>
      </c>
    </row>
    <row r="74" spans="1:4">
      <c r="A74" t="s">
        <v>396</v>
      </c>
      <c r="B74" s="37" t="s">
        <v>21</v>
      </c>
      <c r="C74" t="s">
        <v>397</v>
      </c>
      <c r="D74" t="str">
        <f t="shared" si="1"/>
        <v>OR UPPER(text) LIKE '%E13_PPQPIS.%'</v>
      </c>
    </row>
    <row r="75" spans="1:4">
      <c r="A75" t="s">
        <v>396</v>
      </c>
      <c r="B75" s="38" t="s">
        <v>25</v>
      </c>
      <c r="C75" t="s">
        <v>397</v>
      </c>
      <c r="D75" t="str">
        <f t="shared" si="1"/>
        <v>OR UPPER(text) LIKE '%E13_PREMISCAT.%'</v>
      </c>
    </row>
    <row r="76" spans="1:4">
      <c r="A76" t="s">
        <v>396</v>
      </c>
      <c r="B76" s="43" t="s">
        <v>64</v>
      </c>
      <c r="C76" t="s">
        <v>397</v>
      </c>
      <c r="D76" t="str">
        <f t="shared" si="1"/>
        <v>OR UPPER(text) LIKE '%E13_PUB_RESULTATS.%'</v>
      </c>
    </row>
    <row r="77" spans="1:4">
      <c r="A77" t="s">
        <v>396</v>
      </c>
      <c r="B77" s="38" t="s">
        <v>27</v>
      </c>
      <c r="C77" t="s">
        <v>397</v>
      </c>
      <c r="D77" t="str">
        <f t="shared" si="1"/>
        <v>OR UPPER(text) LIKE '%E13_RESERVA_SALES.%'</v>
      </c>
    </row>
    <row r="78" spans="1:4">
      <c r="A78" t="s">
        <v>396</v>
      </c>
      <c r="B78" s="37" t="s">
        <v>369</v>
      </c>
      <c r="C78" t="s">
        <v>397</v>
      </c>
      <c r="D78" t="str">
        <f t="shared" si="1"/>
        <v>OR UPPER(text) LIKE '%E13_SCD.%'</v>
      </c>
    </row>
    <row r="79" spans="1:4">
      <c r="A79" t="s">
        <v>396</v>
      </c>
      <c r="B79" s="38" t="s">
        <v>332</v>
      </c>
      <c r="C79" t="s">
        <v>397</v>
      </c>
      <c r="D79" t="str">
        <f t="shared" si="1"/>
        <v>OR UPPER(text) LIKE '%E13_SGP.%'</v>
      </c>
    </row>
    <row r="80" spans="1:4">
      <c r="A80" t="s">
        <v>396</v>
      </c>
      <c r="B80" s="37" t="s">
        <v>330</v>
      </c>
      <c r="C80" t="s">
        <v>397</v>
      </c>
      <c r="D80" t="str">
        <f t="shared" si="1"/>
        <v>OR UPPER(text) LIKE '%E13_SHP.%'</v>
      </c>
    </row>
    <row r="81" spans="1:4">
      <c r="A81" t="s">
        <v>396</v>
      </c>
      <c r="B81" s="38" t="s">
        <v>375</v>
      </c>
      <c r="C81" t="s">
        <v>397</v>
      </c>
      <c r="D81" t="str">
        <f t="shared" si="1"/>
        <v>OR UPPER(text) LIKE '%E13_TIT.%'</v>
      </c>
    </row>
    <row r="82" spans="1:4">
      <c r="A82" t="s">
        <v>396</v>
      </c>
      <c r="B82" s="37" t="s">
        <v>131</v>
      </c>
      <c r="C82" t="s">
        <v>397</v>
      </c>
      <c r="D82" t="str">
        <f t="shared" si="1"/>
        <v>OR UPPER(text) LIKE '%E13_VAD_TSYSTEM.%'</v>
      </c>
    </row>
    <row r="83" spans="1:4">
      <c r="A83" t="s">
        <v>396</v>
      </c>
      <c r="B83" s="38" t="s">
        <v>172</v>
      </c>
      <c r="C83" t="s">
        <v>397</v>
      </c>
      <c r="D83" t="str">
        <f t="shared" si="1"/>
        <v>OR UPPER(text) LIKE '%EQCAS.%'</v>
      </c>
    </row>
    <row r="84" spans="1:4">
      <c r="A84" t="s">
        <v>396</v>
      </c>
      <c r="B84" s="37" t="s">
        <v>317</v>
      </c>
      <c r="C84" t="s">
        <v>397</v>
      </c>
      <c r="D84" t="str">
        <f t="shared" si="1"/>
        <v>OR UPPER(text) LIKE '%FINESTRETA.%'</v>
      </c>
    </row>
    <row r="85" spans="1:4">
      <c r="A85" t="s">
        <v>396</v>
      </c>
      <c r="B85" s="38" t="s">
        <v>88</v>
      </c>
      <c r="C85" t="s">
        <v>397</v>
      </c>
      <c r="D85" t="str">
        <f t="shared" si="1"/>
        <v>OR UPPER(text) LIKE '%FLOWS_FILES.%'</v>
      </c>
    </row>
    <row r="86" spans="1:4">
      <c r="A86" t="s">
        <v>396</v>
      </c>
      <c r="B86" s="37" t="s">
        <v>29</v>
      </c>
      <c r="C86" t="s">
        <v>397</v>
      </c>
      <c r="D86" t="str">
        <f t="shared" si="1"/>
        <v>OR UPPER(text) LIKE '%GEPSE.%'</v>
      </c>
    </row>
    <row r="87" spans="1:4">
      <c r="A87" t="s">
        <v>396</v>
      </c>
      <c r="B87" s="38" t="s">
        <v>140</v>
      </c>
      <c r="C87" t="s">
        <v>397</v>
      </c>
      <c r="D87" t="str">
        <f t="shared" si="1"/>
        <v>OR UPPER(text) LIKE '%GGAA.%'</v>
      </c>
    </row>
    <row r="88" spans="1:4">
      <c r="A88" t="s">
        <v>396</v>
      </c>
      <c r="B88" s="37" t="s">
        <v>393</v>
      </c>
      <c r="C88" t="s">
        <v>397</v>
      </c>
      <c r="D88" t="str">
        <f t="shared" si="1"/>
        <v>OR UPPER(text) LIKE '%INFOXTEC.%'</v>
      </c>
    </row>
    <row r="89" spans="1:4">
      <c r="A89" t="s">
        <v>396</v>
      </c>
      <c r="B89" s="38" t="s">
        <v>350</v>
      </c>
      <c r="C89" t="s">
        <v>397</v>
      </c>
      <c r="D89" t="str">
        <f t="shared" si="1"/>
        <v>OR UPPER(text) LIKE '%JHOMAR.%'</v>
      </c>
    </row>
    <row r="90" spans="1:4">
      <c r="A90" t="s">
        <v>396</v>
      </c>
      <c r="B90" s="37" t="s">
        <v>70</v>
      </c>
      <c r="C90" t="s">
        <v>397</v>
      </c>
      <c r="D90" t="str">
        <f t="shared" si="1"/>
        <v>OR UPPER(text) LIKE '%JMARQUE4.%'</v>
      </c>
    </row>
    <row r="91" spans="1:4">
      <c r="A91" t="s">
        <v>396</v>
      </c>
      <c r="B91" s="38" t="s">
        <v>352</v>
      </c>
      <c r="C91" t="s">
        <v>397</v>
      </c>
      <c r="D91" t="str">
        <f t="shared" si="1"/>
        <v>OR UPPER(text) LIKE '%JORGUE.%'</v>
      </c>
    </row>
    <row r="92" spans="1:4">
      <c r="A92" t="s">
        <v>396</v>
      </c>
      <c r="B92" s="37" t="s">
        <v>353</v>
      </c>
      <c r="C92" t="s">
        <v>397</v>
      </c>
      <c r="D92" t="str">
        <f t="shared" si="1"/>
        <v>OR UPPER(text) LIKE '%LIDA.%'</v>
      </c>
    </row>
    <row r="93" spans="1:4">
      <c r="A93" t="s">
        <v>396</v>
      </c>
      <c r="B93" s="38" t="s">
        <v>245</v>
      </c>
      <c r="C93" t="s">
        <v>397</v>
      </c>
      <c r="D93" t="str">
        <f t="shared" si="1"/>
        <v>OR UPPER(text) LIKE '%MIGR_ESQ.%'</v>
      </c>
    </row>
    <row r="94" spans="1:4">
      <c r="A94" t="s">
        <v>396</v>
      </c>
      <c r="B94" s="37" t="s">
        <v>365</v>
      </c>
      <c r="C94" t="s">
        <v>397</v>
      </c>
      <c r="D94" t="str">
        <f t="shared" si="1"/>
        <v>OR UPPER(text) LIKE '%PERGAM2.%'</v>
      </c>
    </row>
    <row r="95" spans="1:4">
      <c r="A95" t="s">
        <v>396</v>
      </c>
      <c r="B95" s="38" t="s">
        <v>282</v>
      </c>
      <c r="C95" t="s">
        <v>397</v>
      </c>
      <c r="D95" t="str">
        <f t="shared" si="1"/>
        <v>OR UPPER(text) LIKE '%PUBLICACIONS.%'</v>
      </c>
    </row>
    <row r="96" spans="1:4">
      <c r="A96" t="s">
        <v>396</v>
      </c>
      <c r="B96" s="37" t="s">
        <v>182</v>
      </c>
      <c r="C96" t="s">
        <v>397</v>
      </c>
      <c r="D96" t="str">
        <f t="shared" si="1"/>
        <v>OR UPPER(text) LIKE '%PUCADM.%'</v>
      </c>
    </row>
    <row r="97" spans="1:4">
      <c r="A97" t="s">
        <v>396</v>
      </c>
      <c r="B97" s="38" t="s">
        <v>183</v>
      </c>
      <c r="C97" t="s">
        <v>397</v>
      </c>
      <c r="D97" t="str">
        <f t="shared" si="1"/>
        <v>OR UPPER(text) LIKE '%QV.%'</v>
      </c>
    </row>
    <row r="98" spans="1:4">
      <c r="A98" t="s">
        <v>396</v>
      </c>
      <c r="B98" s="37" t="s">
        <v>169</v>
      </c>
      <c r="C98" t="s">
        <v>397</v>
      </c>
      <c r="D98" t="str">
        <f t="shared" si="1"/>
        <v>OR UPPER(text) LIKE '%RESTAURA.%'</v>
      </c>
    </row>
    <row r="99" spans="1:4">
      <c r="A99" t="s">
        <v>396</v>
      </c>
      <c r="B99" s="38" t="s">
        <v>178</v>
      </c>
      <c r="C99" t="s">
        <v>397</v>
      </c>
      <c r="D99" t="str">
        <f t="shared" si="1"/>
        <v>OR UPPER(text) LIKE '%RESTORE.%'</v>
      </c>
    </row>
    <row r="100" spans="1:4">
      <c r="A100" t="s">
        <v>396</v>
      </c>
      <c r="B100" s="37" t="s">
        <v>127</v>
      </c>
      <c r="C100" t="s">
        <v>397</v>
      </c>
      <c r="D100" t="str">
        <f t="shared" si="1"/>
        <v>OR UPPER(text) LIKE '%SIGMA.%'</v>
      </c>
    </row>
    <row r="101" spans="1:4">
      <c r="A101" t="s">
        <v>396</v>
      </c>
      <c r="B101" s="38" t="s">
        <v>170</v>
      </c>
      <c r="C101" t="s">
        <v>397</v>
      </c>
      <c r="D101" t="str">
        <f t="shared" si="1"/>
        <v>OR UPPER(text) LIKE '%SIGMA2.%'</v>
      </c>
    </row>
    <row r="102" spans="1:4">
      <c r="A102" t="s">
        <v>396</v>
      </c>
      <c r="B102" s="37" t="s">
        <v>274</v>
      </c>
      <c r="C102" t="s">
        <v>397</v>
      </c>
      <c r="D102" t="str">
        <f t="shared" si="1"/>
        <v>OR UPPER(text) LIKE '%SUPTEC.%'</v>
      </c>
    </row>
    <row r="103" spans="1:4">
      <c r="A103" t="s">
        <v>396</v>
      </c>
      <c r="B103" s="38" t="s">
        <v>328</v>
      </c>
      <c r="C103" t="s">
        <v>397</v>
      </c>
      <c r="D103" t="str">
        <f t="shared" si="1"/>
        <v>OR UPPER(text) LIKE '%SUPTICADM.%'</v>
      </c>
    </row>
    <row r="104" spans="1:4">
      <c r="A104" t="s">
        <v>396</v>
      </c>
      <c r="B104" s="37" t="s">
        <v>340</v>
      </c>
      <c r="C104" t="s">
        <v>397</v>
      </c>
      <c r="D104" t="str">
        <f t="shared" si="1"/>
        <v>OR UPPER(text) LIKE '%TAS000000016839.%'</v>
      </c>
    </row>
    <row r="105" spans="1:4">
      <c r="A105" t="s">
        <v>396</v>
      </c>
      <c r="B105" s="38" t="s">
        <v>203</v>
      </c>
      <c r="C105" t="s">
        <v>397</v>
      </c>
      <c r="D105" t="str">
        <f t="shared" si="1"/>
        <v>OR UPPER(text) LIKE '%UPLOAD.%'</v>
      </c>
    </row>
    <row r="106" spans="1:4">
      <c r="A106" t="s">
        <v>396</v>
      </c>
      <c r="B106" s="37" t="s">
        <v>109</v>
      </c>
      <c r="C106" t="s">
        <v>397</v>
      </c>
      <c r="D106" t="str">
        <f t="shared" si="1"/>
        <v>OR UPPER(text) LIKE '%VFS_NICE_264.%'</v>
      </c>
    </row>
    <row r="107" spans="1:4">
      <c r="A107" t="s">
        <v>396</v>
      </c>
      <c r="B107" s="38" t="s">
        <v>398</v>
      </c>
      <c r="C107" t="s">
        <v>397</v>
      </c>
      <c r="D107" t="str">
        <f t="shared" si="1"/>
        <v>OR UPPER(text) LIKE '%XT20_ALFRESCO.%'</v>
      </c>
    </row>
    <row r="108" spans="1:4">
      <c r="A108" t="s">
        <v>396</v>
      </c>
      <c r="B108" s="37" t="s">
        <v>110</v>
      </c>
      <c r="C108" t="s">
        <v>397</v>
      </c>
      <c r="D108" t="str">
        <f t="shared" si="1"/>
        <v>OR UPPER(text) LIKE '%XT20_LIFERAY.%'</v>
      </c>
    </row>
    <row r="109" spans="1:4">
      <c r="A109" t="s">
        <v>396</v>
      </c>
      <c r="B109" s="38" t="s">
        <v>394</v>
      </c>
      <c r="C109" t="s">
        <v>397</v>
      </c>
      <c r="D109" t="str">
        <f t="shared" si="1"/>
        <v>OR UPPER(text) LIKE '%XTEC_ALTES.%'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EEE0-448B-48CC-8A26-BC5F59F7155B}">
  <dimension ref="A1:K516"/>
  <sheetViews>
    <sheetView zoomScale="70" zoomScaleNormal="70" workbookViewId="0">
      <pane ySplit="1" topLeftCell="A2" activePane="bottomLeft" state="frozen"/>
      <selection pane="bottomLeft" activeCell="H18" sqref="H18"/>
    </sheetView>
  </sheetViews>
  <sheetFormatPr defaultColWidth="8.7109375" defaultRowHeight="14.45"/>
  <cols>
    <col min="1" max="1" width="26.28515625" bestFit="1" customWidth="1"/>
    <col min="2" max="2" width="41.7109375" customWidth="1"/>
    <col min="3" max="3" width="11" customWidth="1"/>
    <col min="4" max="4" width="12.140625" customWidth="1"/>
    <col min="5" max="5" width="17.5703125" style="3" customWidth="1"/>
    <col min="6" max="6" width="8.7109375" customWidth="1"/>
    <col min="7" max="7" width="53.7109375" customWidth="1"/>
    <col min="8" max="8" width="81.42578125" customWidth="1"/>
    <col min="9" max="9" width="25.28515625" customWidth="1"/>
    <col min="10" max="10" width="15.5703125" customWidth="1"/>
  </cols>
  <sheetData>
    <row r="1" spans="1:11">
      <c r="A1" t="s">
        <v>399</v>
      </c>
      <c r="B1" t="s">
        <v>400</v>
      </c>
      <c r="C1" t="s">
        <v>401</v>
      </c>
      <c r="D1" t="s">
        <v>402</v>
      </c>
      <c r="E1" s="2" t="s">
        <v>12</v>
      </c>
      <c r="F1" s="1" t="s">
        <v>76</v>
      </c>
      <c r="G1" s="1" t="s">
        <v>403</v>
      </c>
      <c r="H1" s="1" t="s">
        <v>78</v>
      </c>
      <c r="I1" s="28" t="s">
        <v>79</v>
      </c>
      <c r="J1" s="29" t="s">
        <v>80</v>
      </c>
      <c r="K1" t="s">
        <v>404</v>
      </c>
    </row>
    <row r="2" spans="1:11">
      <c r="A2" t="s">
        <v>405</v>
      </c>
      <c r="B2" t="s">
        <v>406</v>
      </c>
      <c r="C2">
        <v>468851</v>
      </c>
      <c r="D2">
        <f>new_212__3[[#This Row],[MBYTES]]/1024</f>
        <v>457.8623046875</v>
      </c>
      <c r="E2" s="3" t="s">
        <v>6</v>
      </c>
      <c r="F2" t="s">
        <v>84</v>
      </c>
      <c r="H2" t="s">
        <v>407</v>
      </c>
      <c r="K2" t="str" cm="1">
        <f t="array" ref="K2">IF(_xlfn.XLOOKUP(TRIM(A2),TRIM('Espai x esquema'!$A:$A),'Espai x esquema'!$E:$E,"",0)="Sí, però",
   "Sí",
   _xlfn.XLOOKUP(TRIM(A2),TRIM('Espai x esquema'!$A:$A),'Espai x esquema'!$E:$E,"",0))</f>
        <v>No</v>
      </c>
    </row>
    <row r="3" spans="1:11">
      <c r="A3" t="s">
        <v>37</v>
      </c>
      <c r="B3" t="s">
        <v>408</v>
      </c>
      <c r="C3">
        <v>301223</v>
      </c>
      <c r="D3">
        <f>new_212__3[[#This Row],[MBYTES]]/1024</f>
        <v>294.1630859375</v>
      </c>
      <c r="E3" s="3" t="s">
        <v>6</v>
      </c>
      <c r="F3" t="s">
        <v>84</v>
      </c>
      <c r="G3" t="s">
        <v>409</v>
      </c>
      <c r="K3" t="str" cm="1">
        <f t="array" ref="K3">IF(_xlfn.XLOOKUP(TRIM(A3),TRIM('Espai x esquema'!$A:$A),'Espai x esquema'!$E:$E,"",0)="Sí, però",
   "Sí",
   _xlfn.XLOOKUP(TRIM(A3),TRIM('Espai x esquema'!$A:$A),'Espai x esquema'!$E:$E,"",0))</f>
        <v>No</v>
      </c>
    </row>
    <row r="4" spans="1:11">
      <c r="A4" t="s">
        <v>405</v>
      </c>
      <c r="B4" t="s">
        <v>410</v>
      </c>
      <c r="C4">
        <v>197348</v>
      </c>
      <c r="D4">
        <f>new_212__3[[#This Row],[MBYTES]]/1024</f>
        <v>192.72265625</v>
      </c>
      <c r="E4" s="3" t="s">
        <v>6</v>
      </c>
      <c r="F4" t="s">
        <v>84</v>
      </c>
      <c r="H4" t="s">
        <v>411</v>
      </c>
      <c r="K4" t="str" cm="1">
        <f t="array" ref="K4">IF(_xlfn.XLOOKUP(TRIM(A4),TRIM('Espai x esquema'!$A:$A),'Espai x esquema'!$E:$E,"",0)="Sí, però",
   "Sí",
   _xlfn.XLOOKUP(TRIM(A4),TRIM('Espai x esquema'!$A:$A),'Espai x esquema'!$E:$E,"",0))</f>
        <v>No</v>
      </c>
    </row>
    <row r="5" spans="1:11">
      <c r="A5" t="s">
        <v>412</v>
      </c>
      <c r="B5" t="s">
        <v>413</v>
      </c>
      <c r="C5">
        <v>121019</v>
      </c>
      <c r="D5">
        <f>new_212__3[[#This Row],[MBYTES]]/1024</f>
        <v>118.1826171875</v>
      </c>
      <c r="E5" s="3" t="s">
        <v>6</v>
      </c>
      <c r="F5" t="s">
        <v>84</v>
      </c>
      <c r="G5" t="s">
        <v>414</v>
      </c>
      <c r="K5" t="str" cm="1">
        <f t="array" ref="K5">IF(_xlfn.XLOOKUP(TRIM(A5),TRIM('Espai x esquema'!$A:$A),'Espai x esquema'!$E:$E,"",0)="Sí, però",
   "Sí",
   _xlfn.XLOOKUP(TRIM(A5),TRIM('Espai x esquema'!$A:$A),'Espai x esquema'!$E:$E,"",0))</f>
        <v>No</v>
      </c>
    </row>
    <row r="6" spans="1:11">
      <c r="A6" t="s">
        <v>415</v>
      </c>
      <c r="B6" t="s">
        <v>416</v>
      </c>
      <c r="C6">
        <v>55825</v>
      </c>
      <c r="D6">
        <f>new_212__3[[#This Row],[MBYTES]]/1024</f>
        <v>54.5166015625</v>
      </c>
      <c r="E6" s="3" t="s">
        <v>6</v>
      </c>
      <c r="F6" t="s">
        <v>84</v>
      </c>
      <c r="G6" t="s">
        <v>417</v>
      </c>
      <c r="K6" t="str" cm="1">
        <f t="array" ref="K6">IF(_xlfn.XLOOKUP(TRIM(A6),TRIM('Espai x esquema'!$A:$A),'Espai x esquema'!$E:$E,"",0)="Sí, però",
   "Sí",
   _xlfn.XLOOKUP(TRIM(A6),TRIM('Espai x esquema'!$A:$A),'Espai x esquema'!$E:$E,"",0))</f>
        <v>No</v>
      </c>
    </row>
    <row r="7" spans="1:11">
      <c r="A7" t="s">
        <v>418</v>
      </c>
      <c r="B7" t="s">
        <v>413</v>
      </c>
      <c r="C7">
        <v>51330</v>
      </c>
      <c r="D7">
        <f>new_212__3[[#This Row],[MBYTES]]/1024</f>
        <v>50.126953125</v>
      </c>
      <c r="E7" s="3" t="s">
        <v>6</v>
      </c>
      <c r="F7" t="s">
        <v>84</v>
      </c>
      <c r="G7" t="s">
        <v>419</v>
      </c>
      <c r="K7" t="str" cm="1">
        <f t="array" ref="K7">IF(_xlfn.XLOOKUP(TRIM(A7),TRIM('Espai x esquema'!$A:$A),'Espai x esquema'!$E:$E,"",0)="Sí, però",
   "Sí",
   _xlfn.XLOOKUP(TRIM(A7),TRIM('Espai x esquema'!$A:$A),'Espai x esquema'!$E:$E,"",0))</f>
        <v>No</v>
      </c>
    </row>
    <row r="8" spans="1:11">
      <c r="A8" t="s">
        <v>420</v>
      </c>
      <c r="B8" t="s">
        <v>421</v>
      </c>
      <c r="C8">
        <v>50780</v>
      </c>
      <c r="D8">
        <v>49.58984375</v>
      </c>
      <c r="E8" s="3" t="s">
        <v>6</v>
      </c>
      <c r="F8" t="s">
        <v>116</v>
      </c>
      <c r="G8" t="s">
        <v>422</v>
      </c>
      <c r="K8" t="str" cm="1">
        <f t="array" ref="K8">IF(_xlfn.XLOOKUP(TRIM(A8),TRIM('Espai x esquema'!$A:$A),'Espai x esquema'!$E:$E,"",0)="Sí, però",
   "Sí",
   _xlfn.XLOOKUP(TRIM(A8),TRIM('Espai x esquema'!$A:$A),'Espai x esquema'!$E:$E,"",0))</f>
        <v>No</v>
      </c>
    </row>
    <row r="9" spans="1:11">
      <c r="A9" t="s">
        <v>405</v>
      </c>
      <c r="B9" t="s">
        <v>413</v>
      </c>
      <c r="C9">
        <v>43550</v>
      </c>
      <c r="D9">
        <f>new_212__3[[#This Row],[MBYTES]]/1024</f>
        <v>42.529296875</v>
      </c>
      <c r="E9" s="3" t="s">
        <v>6</v>
      </c>
      <c r="F9" t="s">
        <v>84</v>
      </c>
      <c r="G9" t="s">
        <v>414</v>
      </c>
      <c r="K9" t="str" cm="1">
        <f t="array" ref="K9">IF(_xlfn.XLOOKUP(TRIM(A9),TRIM('Espai x esquema'!$A:$A),'Espai x esquema'!$E:$E,"",0)="Sí, però",
   "Sí",
   _xlfn.XLOOKUP(TRIM(A9),TRIM('Espai x esquema'!$A:$A),'Espai x esquema'!$E:$E,"",0))</f>
        <v>No</v>
      </c>
    </row>
    <row r="10" spans="1:11">
      <c r="A10" t="s">
        <v>412</v>
      </c>
      <c r="B10" t="s">
        <v>408</v>
      </c>
      <c r="C10">
        <v>40938</v>
      </c>
      <c r="D10">
        <f>new_212__3[[#This Row],[MBYTES]]/1024</f>
        <v>39.978515625</v>
      </c>
      <c r="E10" s="3" t="s">
        <v>6</v>
      </c>
      <c r="F10" t="s">
        <v>84</v>
      </c>
      <c r="G10" t="s">
        <v>419</v>
      </c>
      <c r="K10" t="str" cm="1">
        <f t="array" ref="K10">IF(_xlfn.XLOOKUP(TRIM(A10),TRIM('Espai x esquema'!$A:$A),'Espai x esquema'!$E:$E,"",0)="Sí, però",
   "Sí",
   _xlfn.XLOOKUP(TRIM(A10),TRIM('Espai x esquema'!$A:$A),'Espai x esquema'!$E:$E,"",0))</f>
        <v>No</v>
      </c>
    </row>
    <row r="11" spans="1:11">
      <c r="A11" t="s">
        <v>423</v>
      </c>
      <c r="B11" t="s">
        <v>424</v>
      </c>
      <c r="C11">
        <v>39562</v>
      </c>
      <c r="D11">
        <f>new_212__3[[#This Row],[MBYTES]]/1024</f>
        <v>38.634765625</v>
      </c>
      <c r="K11" t="str" cm="1">
        <f t="array" ref="K11">IF(_xlfn.XLOOKUP(TRIM(A11),TRIM('Espai x esquema'!$A:$A),'Espai x esquema'!$E:$E,"",0)="Sí, però",
   "Sí",
   _xlfn.XLOOKUP(TRIM(A11),TRIM('Espai x esquema'!$A:$A),'Espai x esquema'!$E:$E,"",0))</f>
        <v>??</v>
      </c>
    </row>
    <row r="12" spans="1:11">
      <c r="A12" t="s">
        <v>425</v>
      </c>
      <c r="B12" t="s">
        <v>408</v>
      </c>
      <c r="C12">
        <v>38519</v>
      </c>
      <c r="D12">
        <f>new_212__3[[#This Row],[MBYTES]]/1024</f>
        <v>37.6162109375</v>
      </c>
      <c r="E12" s="3" t="s">
        <v>6</v>
      </c>
      <c r="F12" t="s">
        <v>84</v>
      </c>
      <c r="G12" t="s">
        <v>426</v>
      </c>
      <c r="K12" t="str" cm="1">
        <f t="array" ref="K12">IF(_xlfn.XLOOKUP(TRIM(A12),TRIM('Espai x esquema'!$A:$A),'Espai x esquema'!$E:$E,"",0)="Sí, però",
   "Sí",
   _xlfn.XLOOKUP(TRIM(A12),TRIM('Espai x esquema'!$A:$A),'Espai x esquema'!$E:$E,"",0))</f>
        <v>No</v>
      </c>
    </row>
    <row r="13" spans="1:11">
      <c r="A13" t="s">
        <v>26</v>
      </c>
      <c r="B13" t="s">
        <v>427</v>
      </c>
      <c r="C13">
        <v>27168</v>
      </c>
      <c r="D13">
        <f>new_212__3[[#This Row],[MBYTES]]/1024</f>
        <v>26.53125</v>
      </c>
      <c r="E13" s="3" t="s">
        <v>6</v>
      </c>
      <c r="F13" t="s">
        <v>84</v>
      </c>
      <c r="G13" t="s">
        <v>428</v>
      </c>
      <c r="K13" t="str" cm="1">
        <f t="array" ref="K13">IF(_xlfn.XLOOKUP(TRIM(A13),TRIM('Espai x esquema'!$A:$A),'Espai x esquema'!$E:$E,"",0)="Sí, però",
   "Sí",
   _xlfn.XLOOKUP(TRIM(A13),TRIM('Espai x esquema'!$A:$A),'Espai x esquema'!$E:$E,"",0))</f>
        <v>No</v>
      </c>
    </row>
    <row r="14" spans="1:11">
      <c r="A14" t="s">
        <v>405</v>
      </c>
      <c r="B14" t="s">
        <v>408</v>
      </c>
      <c r="C14">
        <v>25430</v>
      </c>
      <c r="D14">
        <f>new_212__3[[#This Row],[MBYTES]]/1024</f>
        <v>24.833984375</v>
      </c>
      <c r="E14" s="3" t="s">
        <v>6</v>
      </c>
      <c r="F14" t="s">
        <v>84</v>
      </c>
      <c r="G14" t="s">
        <v>419</v>
      </c>
      <c r="K14" t="str" cm="1">
        <f t="array" ref="K14">IF(_xlfn.XLOOKUP(TRIM(A14),TRIM('Espai x esquema'!$A:$A),'Espai x esquema'!$E:$E,"",0)="Sí, però",
   "Sí",
   _xlfn.XLOOKUP(TRIM(A14),TRIM('Espai x esquema'!$A:$A),'Espai x esquema'!$E:$E,"",0))</f>
        <v>No</v>
      </c>
    </row>
    <row r="15" spans="1:11">
      <c r="A15" t="s">
        <v>415</v>
      </c>
      <c r="B15" t="s">
        <v>429</v>
      </c>
      <c r="C15">
        <v>23106</v>
      </c>
      <c r="D15">
        <f>new_212__3[[#This Row],[MBYTES]]/1024</f>
        <v>22.564453125</v>
      </c>
      <c r="E15" s="3" t="s">
        <v>6</v>
      </c>
      <c r="F15" t="s">
        <v>84</v>
      </c>
      <c r="G15" t="s">
        <v>430</v>
      </c>
      <c r="K15" t="str" cm="1">
        <f t="array" ref="K15">IF(_xlfn.XLOOKUP(TRIM(A15),TRIM('Espai x esquema'!$A:$A),'Espai x esquema'!$E:$E,"",0)="Sí, però",
   "Sí",
   _xlfn.XLOOKUP(TRIM(A15),TRIM('Espai x esquema'!$A:$A),'Espai x esquema'!$E:$E,"",0))</f>
        <v>No</v>
      </c>
    </row>
    <row r="16" spans="1:11">
      <c r="A16" t="s">
        <v>30</v>
      </c>
      <c r="B16" t="s">
        <v>413</v>
      </c>
      <c r="C16">
        <v>20848</v>
      </c>
      <c r="D16">
        <f>new_212__3[[#This Row],[MBYTES]]/1024</f>
        <v>20.359375</v>
      </c>
      <c r="E16" s="3" t="s">
        <v>6</v>
      </c>
      <c r="F16" t="s">
        <v>84</v>
      </c>
      <c r="G16" t="s">
        <v>414</v>
      </c>
      <c r="K16" t="str" cm="1">
        <f t="array" ref="K16">IF(_xlfn.XLOOKUP(TRIM(A16),TRIM('Espai x esquema'!$A:$A),'Espai x esquema'!$E:$E,"",0)="Sí, però",
   "Sí",
   _xlfn.XLOOKUP(TRIM(A16),TRIM('Espai x esquema'!$A:$A),'Espai x esquema'!$E:$E,"",0))</f>
        <v>No</v>
      </c>
    </row>
    <row r="17" spans="1:11">
      <c r="A17" t="s">
        <v>431</v>
      </c>
      <c r="B17" t="s">
        <v>432</v>
      </c>
      <c r="C17">
        <v>17503</v>
      </c>
      <c r="D17">
        <f>new_212__3[[#This Row],[MBYTES]]/1024</f>
        <v>17.0927734375</v>
      </c>
      <c r="E17" s="3" t="s">
        <v>6</v>
      </c>
      <c r="F17" t="s">
        <v>84</v>
      </c>
      <c r="G17" t="s">
        <v>409</v>
      </c>
      <c r="K17" t="str" cm="1">
        <f t="array" ref="K17">IF(_xlfn.XLOOKUP(TRIM(A17),TRIM('Espai x esquema'!$A:$A),'Espai x esquema'!$E:$E,"",0)="Sí, però",
   "Sí",
   _xlfn.XLOOKUP(TRIM(A17),TRIM('Espai x esquema'!$A:$A),'Espai x esquema'!$E:$E,"",0))</f>
        <v>No</v>
      </c>
    </row>
    <row r="18" spans="1:11">
      <c r="A18" t="s">
        <v>433</v>
      </c>
      <c r="B18" t="s">
        <v>408</v>
      </c>
      <c r="C18">
        <v>17205</v>
      </c>
      <c r="D18">
        <f>new_212__3[[#This Row],[MBYTES]]/1024</f>
        <v>16.8017578125</v>
      </c>
      <c r="E18" s="3" t="s">
        <v>6</v>
      </c>
      <c r="F18" t="s">
        <v>84</v>
      </c>
      <c r="K18" t="str" cm="1">
        <f t="array" ref="K18">IF(_xlfn.XLOOKUP(TRIM(A18),TRIM('Espai x esquema'!$A:$A),'Espai x esquema'!$E:$E,"",0)="Sí, però",
   "Sí",
   _xlfn.XLOOKUP(TRIM(A18),TRIM('Espai x esquema'!$A:$A),'Espai x esquema'!$E:$E,"",0))</f>
        <v>No</v>
      </c>
    </row>
    <row r="19" spans="1:11">
      <c r="A19" t="s">
        <v>434</v>
      </c>
      <c r="B19" t="s">
        <v>435</v>
      </c>
      <c r="C19">
        <v>16314</v>
      </c>
      <c r="D19">
        <f>new_212__3[[#This Row],[MBYTES]]/1024</f>
        <v>15.931640625</v>
      </c>
      <c r="E19" s="3" t="s">
        <v>6</v>
      </c>
      <c r="F19" t="s">
        <v>84</v>
      </c>
      <c r="G19" t="s">
        <v>426</v>
      </c>
      <c r="K19" t="str" cm="1">
        <f t="array" ref="K19">IF(_xlfn.XLOOKUP(TRIM(A19),TRIM('Espai x esquema'!$A:$A),'Espai x esquema'!$E:$E,"",0)="Sí, però",
   "Sí",
   _xlfn.XLOOKUP(TRIM(A19),TRIM('Espai x esquema'!$A:$A),'Espai x esquema'!$E:$E,"",0))</f>
        <v>No</v>
      </c>
    </row>
    <row r="20" spans="1:11">
      <c r="A20" t="s">
        <v>436</v>
      </c>
      <c r="B20" t="s">
        <v>437</v>
      </c>
      <c r="C20">
        <v>15808</v>
      </c>
      <c r="D20">
        <f>new_212__3[[#This Row],[MBYTES]]/1024</f>
        <v>15.4375</v>
      </c>
      <c r="F20" t="s">
        <v>84</v>
      </c>
      <c r="K20" t="str" cm="1">
        <f t="array" ref="K20">IF(_xlfn.XLOOKUP(TRIM(A20),TRIM('Espai x esquema'!$A:$A),'Espai x esquema'!$E:$E,"",0)="Sí, però",
   "Sí",
   _xlfn.XLOOKUP(TRIM(A20),TRIM('Espai x esquema'!$A:$A),'Espai x esquema'!$E:$E,"",0))</f>
        <v>No</v>
      </c>
    </row>
    <row r="21" spans="1:11">
      <c r="A21" t="s">
        <v>438</v>
      </c>
      <c r="B21" t="s">
        <v>439</v>
      </c>
      <c r="C21">
        <v>14788</v>
      </c>
      <c r="D21">
        <f>new_212__3[[#This Row],[MBYTES]]/1024</f>
        <v>14.44140625</v>
      </c>
      <c r="E21" s="3" t="s">
        <v>6</v>
      </c>
      <c r="F21" t="s">
        <v>84</v>
      </c>
      <c r="H21" t="s">
        <v>440</v>
      </c>
      <c r="K21" t="str" cm="1">
        <f t="array" ref="K21">IF(_xlfn.XLOOKUP(TRIM(A21),TRIM('Espai x esquema'!$A:$A),'Espai x esquema'!$E:$E,"",0)="Sí, però",
   "Sí",
   _xlfn.XLOOKUP(TRIM(A21),TRIM('Espai x esquema'!$A:$A),'Espai x esquema'!$E:$E,"",0))</f>
        <v>No</v>
      </c>
    </row>
    <row r="22" spans="1:11">
      <c r="A22" t="s">
        <v>441</v>
      </c>
      <c r="B22" t="s">
        <v>442</v>
      </c>
      <c r="C22">
        <v>14764</v>
      </c>
      <c r="D22">
        <v>14.41796875</v>
      </c>
      <c r="E22" s="3" t="s">
        <v>6</v>
      </c>
      <c r="F22" t="s">
        <v>116</v>
      </c>
      <c r="G22" t="s">
        <v>422</v>
      </c>
      <c r="K22" t="str" cm="1">
        <f t="array" ref="K22">IF(_xlfn.XLOOKUP(TRIM(A22),TRIM('Espai x esquema'!$A:$A),'Espai x esquema'!$E:$E,"",0)="Sí, però",
   "Sí",
   _xlfn.XLOOKUP(TRIM(A22),TRIM('Espai x esquema'!$A:$A),'Espai x esquema'!$E:$E,"",0))</f>
        <v>No</v>
      </c>
    </row>
    <row r="23" spans="1:11">
      <c r="A23" t="s">
        <v>22</v>
      </c>
      <c r="B23" t="s">
        <v>443</v>
      </c>
      <c r="C23">
        <v>14211</v>
      </c>
      <c r="D23">
        <f>new_212__3[[#This Row],[MBYTES]]/1024</f>
        <v>13.8779296875</v>
      </c>
      <c r="E23" s="3" t="s">
        <v>6</v>
      </c>
      <c r="F23" t="s">
        <v>84</v>
      </c>
      <c r="G23" t="s">
        <v>444</v>
      </c>
      <c r="K23" t="str" cm="1">
        <f t="array" ref="K23">IF(_xlfn.XLOOKUP(TRIM(A23),TRIM('Espai x esquema'!$A:$A),'Espai x esquema'!$E:$E,"",0)="Sí, però",
   "Sí",
   _xlfn.XLOOKUP(TRIM(A23),TRIM('Espai x esquema'!$A:$A),'Espai x esquema'!$E:$E,"",0))</f>
        <v>No</v>
      </c>
    </row>
    <row r="24" spans="1:11">
      <c r="A24" t="s">
        <v>445</v>
      </c>
      <c r="B24" t="s">
        <v>446</v>
      </c>
      <c r="C24">
        <v>13944</v>
      </c>
      <c r="D24">
        <f>new_212__3[[#This Row],[MBYTES]]/1024</f>
        <v>13.6171875</v>
      </c>
      <c r="E24" s="3" t="s">
        <v>6</v>
      </c>
      <c r="F24" t="s">
        <v>84</v>
      </c>
      <c r="H24" t="s">
        <v>440</v>
      </c>
      <c r="K24" t="str" cm="1">
        <f t="array" ref="K24">IF(_xlfn.XLOOKUP(TRIM(A24),TRIM('Espai x esquema'!$A:$A),'Espai x esquema'!$E:$E,"",0)="Sí, però",
   "Sí",
   _xlfn.XLOOKUP(TRIM(A24),TRIM('Espai x esquema'!$A:$A),'Espai x esquema'!$E:$E,"",0))</f>
        <v>No</v>
      </c>
    </row>
    <row r="25" spans="1:11">
      <c r="A25" t="s">
        <v>48</v>
      </c>
      <c r="B25" t="s">
        <v>447</v>
      </c>
      <c r="C25">
        <v>13106</v>
      </c>
      <c r="D25">
        <f>new_212__3[[#This Row],[MBYTES]]/1024</f>
        <v>12.798828125</v>
      </c>
      <c r="E25" s="3" t="s">
        <v>8</v>
      </c>
      <c r="F25" t="s">
        <v>101</v>
      </c>
      <c r="G25" s="4" t="s">
        <v>448</v>
      </c>
      <c r="H25" t="s">
        <v>449</v>
      </c>
      <c r="I25" t="s">
        <v>450</v>
      </c>
      <c r="J25" t="s">
        <v>45</v>
      </c>
      <c r="K25" t="str" cm="1">
        <f t="array" ref="K25">IF(_xlfn.XLOOKUP(TRIM(A25),TRIM('Espai x esquema'!$A:$A),'Espai x esquema'!$E:$E,"",0)="Sí, però",
   "Sí",
   _xlfn.XLOOKUP(TRIM(A25),TRIM('Espai x esquema'!$A:$A),'Espai x esquema'!$E:$E,"",0))</f>
        <v>No</v>
      </c>
    </row>
    <row r="26" spans="1:11">
      <c r="A26" t="s">
        <v>451</v>
      </c>
      <c r="B26" t="s">
        <v>452</v>
      </c>
      <c r="C26">
        <v>12548</v>
      </c>
      <c r="D26">
        <f>new_212__3[[#This Row],[MBYTES]]/1024</f>
        <v>12.25390625</v>
      </c>
      <c r="E26" s="3" t="s">
        <v>6</v>
      </c>
      <c r="F26" t="s">
        <v>84</v>
      </c>
      <c r="H26" t="s">
        <v>440</v>
      </c>
      <c r="K26" t="str" cm="1">
        <f t="array" ref="K26">IF(_xlfn.XLOOKUP(TRIM(A26),TRIM('Espai x esquema'!$A:$A),'Espai x esquema'!$E:$E,"",0)="Sí, però",
   "Sí",
   _xlfn.XLOOKUP(TRIM(A26),TRIM('Espai x esquema'!$A:$A),'Espai x esquema'!$E:$E,"",0))</f>
        <v>No</v>
      </c>
    </row>
    <row r="27" spans="1:11">
      <c r="A27" t="s">
        <v>20</v>
      </c>
      <c r="B27" t="s">
        <v>453</v>
      </c>
      <c r="C27">
        <v>11088</v>
      </c>
      <c r="D27">
        <f>new_212__3[[#This Row],[MBYTES]]/1024</f>
        <v>10.828125</v>
      </c>
      <c r="E27" s="3" t="s">
        <v>6</v>
      </c>
      <c r="F27" t="s">
        <v>84</v>
      </c>
      <c r="H27" t="s">
        <v>440</v>
      </c>
      <c r="K27" t="str" cm="1">
        <f t="array" ref="K27">IF(_xlfn.XLOOKUP(TRIM(A27),TRIM('Espai x esquema'!$A:$A),'Espai x esquema'!$E:$E,"",0)="Sí, però",
   "Sí",
   _xlfn.XLOOKUP(TRIM(A27),TRIM('Espai x esquema'!$A:$A),'Espai x esquema'!$E:$E,"",0))</f>
        <v>No</v>
      </c>
    </row>
    <row r="28" spans="1:11">
      <c r="A28" t="s">
        <v>22</v>
      </c>
      <c r="B28" t="s">
        <v>454</v>
      </c>
      <c r="C28">
        <v>10952</v>
      </c>
      <c r="D28">
        <f>new_212__3[[#This Row],[MBYTES]]/1024</f>
        <v>10.6953125</v>
      </c>
      <c r="E28" s="3" t="s">
        <v>6</v>
      </c>
      <c r="F28" t="s">
        <v>84</v>
      </c>
      <c r="G28" t="s">
        <v>444</v>
      </c>
      <c r="K28" t="str" cm="1">
        <f t="array" ref="K28">IF(_xlfn.XLOOKUP(TRIM(A28),TRIM('Espai x esquema'!$A:$A),'Espai x esquema'!$E:$E,"",0)="Sí, però",
   "Sí",
   _xlfn.XLOOKUP(TRIM(A28),TRIM('Espai x esquema'!$A:$A),'Espai x esquema'!$E:$E,"",0))</f>
        <v>No</v>
      </c>
    </row>
    <row r="29" spans="1:11">
      <c r="A29" t="s">
        <v>415</v>
      </c>
      <c r="B29" t="s">
        <v>455</v>
      </c>
      <c r="C29">
        <v>10914</v>
      </c>
      <c r="D29">
        <f>new_212__3[[#This Row],[MBYTES]]/1024</f>
        <v>10.658203125</v>
      </c>
      <c r="E29" s="3" t="s">
        <v>6</v>
      </c>
      <c r="F29" t="s">
        <v>84</v>
      </c>
      <c r="G29" t="s">
        <v>456</v>
      </c>
      <c r="K29" t="str" cm="1">
        <f t="array" ref="K29">IF(_xlfn.XLOOKUP(TRIM(A29),TRIM('Espai x esquema'!$A:$A),'Espai x esquema'!$E:$E,"",0)="Sí, però",
   "Sí",
   _xlfn.XLOOKUP(TRIM(A29),TRIM('Espai x esquema'!$A:$A),'Espai x esquema'!$E:$E,"",0))</f>
        <v>No</v>
      </c>
    </row>
    <row r="30" spans="1:11">
      <c r="A30" t="s">
        <v>415</v>
      </c>
      <c r="B30" t="s">
        <v>457</v>
      </c>
      <c r="C30">
        <v>10591</v>
      </c>
      <c r="D30">
        <f>new_212__3[[#This Row],[MBYTES]]/1024</f>
        <v>10.3427734375</v>
      </c>
      <c r="E30" s="3" t="s">
        <v>6</v>
      </c>
      <c r="F30" t="s">
        <v>84</v>
      </c>
      <c r="G30" t="s">
        <v>417</v>
      </c>
      <c r="K30" t="str" cm="1">
        <f t="array" ref="K30">IF(_xlfn.XLOOKUP(TRIM(A30),TRIM('Espai x esquema'!$A:$A),'Espai x esquema'!$E:$E,"",0)="Sí, però",
   "Sí",
   _xlfn.XLOOKUP(TRIM(A30),TRIM('Espai x esquema'!$A:$A),'Espai x esquema'!$E:$E,"",0))</f>
        <v>No</v>
      </c>
    </row>
    <row r="31" spans="1:11">
      <c r="A31" t="s">
        <v>458</v>
      </c>
      <c r="B31" t="s">
        <v>459</v>
      </c>
      <c r="C31">
        <v>9128</v>
      </c>
      <c r="D31">
        <f>new_212__3[[#This Row],[MBYTES]]/1024</f>
        <v>8.9140625</v>
      </c>
      <c r="E31" s="3" t="s">
        <v>6</v>
      </c>
      <c r="F31" t="s">
        <v>84</v>
      </c>
      <c r="G31" t="s">
        <v>417</v>
      </c>
      <c r="K31" t="str" cm="1">
        <f t="array" ref="K31">IF(_xlfn.XLOOKUP(TRIM(A31),TRIM('Espai x esquema'!$A:$A),'Espai x esquema'!$E:$E,"",0)="Sí, però",
   "Sí",
   _xlfn.XLOOKUP(TRIM(A31),TRIM('Espai x esquema'!$A:$A),'Espai x esquema'!$E:$E,"",0))</f>
        <v>Sí</v>
      </c>
    </row>
    <row r="32" spans="1:11">
      <c r="A32" t="s">
        <v>460</v>
      </c>
      <c r="B32" t="s">
        <v>408</v>
      </c>
      <c r="C32">
        <v>8501</v>
      </c>
      <c r="D32">
        <f>new_212__3[[#This Row],[MBYTES]]/1024</f>
        <v>8.3017578125</v>
      </c>
      <c r="E32" s="3" t="s">
        <v>6</v>
      </c>
      <c r="F32" t="s">
        <v>84</v>
      </c>
      <c r="K32" t="str" cm="1">
        <f t="array" ref="K32">IF(_xlfn.XLOOKUP(TRIM(A32),TRIM('Espai x esquema'!$A:$A),'Espai x esquema'!$E:$E,"",0)="Sí, però",
   "Sí",
   _xlfn.XLOOKUP(TRIM(A32),TRIM('Espai x esquema'!$A:$A),'Espai x esquema'!$E:$E,"",0))</f>
        <v>No</v>
      </c>
    </row>
    <row r="33" spans="1:11">
      <c r="A33" t="s">
        <v>30</v>
      </c>
      <c r="B33" t="s">
        <v>408</v>
      </c>
      <c r="C33">
        <v>8274</v>
      </c>
      <c r="D33">
        <f>new_212__3[[#This Row],[MBYTES]]/1024</f>
        <v>8.080078125</v>
      </c>
      <c r="E33" s="3" t="s">
        <v>6</v>
      </c>
      <c r="F33" t="s">
        <v>84</v>
      </c>
      <c r="G33" t="s">
        <v>419</v>
      </c>
      <c r="K33" t="str" cm="1">
        <f t="array" ref="K33">IF(_xlfn.XLOOKUP(TRIM(A33),TRIM('Espai x esquema'!$A:$A),'Espai x esquema'!$E:$E,"",0)="Sí, però",
   "Sí",
   _xlfn.XLOOKUP(TRIM(A33),TRIM('Espai x esquema'!$A:$A),'Espai x esquema'!$E:$E,"",0))</f>
        <v>No</v>
      </c>
    </row>
    <row r="34" spans="1:11">
      <c r="A34" t="s">
        <v>461</v>
      </c>
      <c r="B34" t="s">
        <v>408</v>
      </c>
      <c r="C34">
        <v>7916</v>
      </c>
      <c r="D34">
        <f>new_212__3[[#This Row],[MBYTES]]/1024</f>
        <v>7.73046875</v>
      </c>
      <c r="E34" s="3" t="s">
        <v>6</v>
      </c>
      <c r="F34" t="s">
        <v>84</v>
      </c>
      <c r="G34" t="s">
        <v>417</v>
      </c>
      <c r="K34" t="str" cm="1">
        <f t="array" ref="K34">IF(_xlfn.XLOOKUP(TRIM(A34),TRIM('Espai x esquema'!$A:$A),'Espai x esquema'!$E:$E,"",0)="Sí, però",
   "Sí",
   _xlfn.XLOOKUP(TRIM(A34),TRIM('Espai x esquema'!$A:$A),'Espai x esquema'!$E:$E,"",0))</f>
        <v>No</v>
      </c>
    </row>
    <row r="35" spans="1:11">
      <c r="A35" t="s">
        <v>420</v>
      </c>
      <c r="B35" t="s">
        <v>462</v>
      </c>
      <c r="C35">
        <v>7592</v>
      </c>
      <c r="D35">
        <v>7.4140625</v>
      </c>
      <c r="E35" s="3" t="s">
        <v>6</v>
      </c>
      <c r="F35" t="s">
        <v>116</v>
      </c>
      <c r="G35" t="s">
        <v>422</v>
      </c>
      <c r="K35" t="str" cm="1">
        <f t="array" ref="K35">IF(_xlfn.XLOOKUP(TRIM(A35),TRIM('Espai x esquema'!$A:$A),'Espai x esquema'!$E:$E,"",0)="Sí, però",
   "Sí",
   _xlfn.XLOOKUP(TRIM(A35),TRIM('Espai x esquema'!$A:$A),'Espai x esquema'!$E:$E,"",0))</f>
        <v>No</v>
      </c>
    </row>
    <row r="36" spans="1:11">
      <c r="A36" t="s">
        <v>22</v>
      </c>
      <c r="B36" t="s">
        <v>463</v>
      </c>
      <c r="C36">
        <v>7589</v>
      </c>
      <c r="D36">
        <f>new_212__3[[#This Row],[MBYTES]]/1024</f>
        <v>7.4111328125</v>
      </c>
      <c r="E36" s="3" t="s">
        <v>8</v>
      </c>
      <c r="F36" t="s">
        <v>84</v>
      </c>
      <c r="G36" t="s">
        <v>464</v>
      </c>
      <c r="I36" t="s">
        <v>465</v>
      </c>
      <c r="J36" t="s">
        <v>15</v>
      </c>
      <c r="K36" t="str" cm="1">
        <f t="array" ref="K36">IF(_xlfn.XLOOKUP(TRIM(A36),TRIM('Espai x esquema'!$A:$A),'Espai x esquema'!$E:$E,"",0)="Sí, però",
   "Sí",
   _xlfn.XLOOKUP(TRIM(A36),TRIM('Espai x esquema'!$A:$A),'Espai x esquema'!$E:$E,"",0))</f>
        <v>No</v>
      </c>
    </row>
    <row r="37" spans="1:11">
      <c r="A37" t="s">
        <v>22</v>
      </c>
      <c r="B37" t="s">
        <v>466</v>
      </c>
      <c r="C37">
        <v>7574</v>
      </c>
      <c r="D37">
        <f>new_212__3[[#This Row],[MBYTES]]/1024</f>
        <v>7.396484375</v>
      </c>
      <c r="E37" s="3" t="s">
        <v>8</v>
      </c>
      <c r="F37" t="s">
        <v>84</v>
      </c>
      <c r="G37" t="s">
        <v>464</v>
      </c>
      <c r="I37" t="s">
        <v>465</v>
      </c>
      <c r="J37" t="s">
        <v>15</v>
      </c>
      <c r="K37" t="str" cm="1">
        <f t="array" ref="K37">IF(_xlfn.XLOOKUP(TRIM(A37),TRIM('Espai x esquema'!$A:$A),'Espai x esquema'!$E:$E,"",0)="Sí, però",
   "Sí",
   _xlfn.XLOOKUP(TRIM(A37),TRIM('Espai x esquema'!$A:$A),'Espai x esquema'!$E:$E,"",0))</f>
        <v>No</v>
      </c>
    </row>
    <row r="38" spans="1:11">
      <c r="A38" t="s">
        <v>22</v>
      </c>
      <c r="B38" t="s">
        <v>467</v>
      </c>
      <c r="C38">
        <v>7573</v>
      </c>
      <c r="D38">
        <f>new_212__3[[#This Row],[MBYTES]]/1024</f>
        <v>7.3955078125</v>
      </c>
      <c r="E38" s="3" t="s">
        <v>8</v>
      </c>
      <c r="F38" t="s">
        <v>84</v>
      </c>
      <c r="G38" t="s">
        <v>464</v>
      </c>
      <c r="I38" t="s">
        <v>465</v>
      </c>
      <c r="J38" t="s">
        <v>15</v>
      </c>
      <c r="K38" t="str" cm="1">
        <f t="array" ref="K38">IF(_xlfn.XLOOKUP(TRIM(A38),TRIM('Espai x esquema'!$A:$A),'Espai x esquema'!$E:$E,"",0)="Sí, però",
   "Sí",
   _xlfn.XLOOKUP(TRIM(A38),TRIM('Espai x esquema'!$A:$A),'Espai x esquema'!$E:$E,"",0))</f>
        <v>No</v>
      </c>
    </row>
    <row r="39" spans="1:11">
      <c r="A39" t="s">
        <v>445</v>
      </c>
      <c r="B39" t="s">
        <v>468</v>
      </c>
      <c r="C39">
        <v>7388</v>
      </c>
      <c r="D39">
        <f>new_212__3[[#This Row],[MBYTES]]/1024</f>
        <v>7.21484375</v>
      </c>
      <c r="E39" s="3" t="s">
        <v>6</v>
      </c>
      <c r="F39" t="s">
        <v>84</v>
      </c>
      <c r="H39" t="s">
        <v>440</v>
      </c>
      <c r="K39" t="str" cm="1">
        <f t="array" ref="K39">IF(_xlfn.XLOOKUP(TRIM(A39),TRIM('Espai x esquema'!$A:$A),'Espai x esquema'!$E:$E,"",0)="Sí, però",
   "Sí",
   _xlfn.XLOOKUP(TRIM(A39),TRIM('Espai x esquema'!$A:$A),'Espai x esquema'!$E:$E,"",0))</f>
        <v>No</v>
      </c>
    </row>
    <row r="40" spans="1:11">
      <c r="A40" t="s">
        <v>469</v>
      </c>
      <c r="B40" t="s">
        <v>470</v>
      </c>
      <c r="C40">
        <v>6945</v>
      </c>
      <c r="D40">
        <f>new_212__3[[#This Row],[MBYTES]]/1024</f>
        <v>6.7822265625</v>
      </c>
      <c r="E40" s="3" t="s">
        <v>6</v>
      </c>
      <c r="F40" t="s">
        <v>84</v>
      </c>
      <c r="K40" t="str" cm="1">
        <f t="array" ref="K40">IF(_xlfn.XLOOKUP(TRIM(A40),TRIM('Espai x esquema'!$A:$A),'Espai x esquema'!$E:$E,"",0)="Sí, però",
   "Sí",
   _xlfn.XLOOKUP(TRIM(A40),TRIM('Espai x esquema'!$A:$A),'Espai x esquema'!$E:$E,"",0))</f>
        <v>No</v>
      </c>
    </row>
    <row r="41" spans="1:11">
      <c r="A41" t="s">
        <v>418</v>
      </c>
      <c r="B41" t="s">
        <v>408</v>
      </c>
      <c r="C41">
        <v>6714</v>
      </c>
      <c r="D41">
        <f>new_212__3[[#This Row],[MBYTES]]/1024</f>
        <v>6.556640625</v>
      </c>
      <c r="E41" s="3" t="s">
        <v>6</v>
      </c>
      <c r="F41" t="s">
        <v>84</v>
      </c>
      <c r="G41" t="s">
        <v>471</v>
      </c>
      <c r="K41" t="str" cm="1">
        <f t="array" ref="K41">IF(_xlfn.XLOOKUP(TRIM(A41),TRIM('Espai x esquema'!$A:$A),'Espai x esquema'!$E:$E,"",0)="Sí, però",
   "Sí",
   _xlfn.XLOOKUP(TRIM(A41),TRIM('Espai x esquema'!$A:$A),'Espai x esquema'!$E:$E,"",0))</f>
        <v>No</v>
      </c>
    </row>
    <row r="42" spans="1:11">
      <c r="A42" t="s">
        <v>472</v>
      </c>
      <c r="B42" t="s">
        <v>473</v>
      </c>
      <c r="C42">
        <v>6091</v>
      </c>
      <c r="D42">
        <f>new_212__3[[#This Row],[MBYTES]]/1024</f>
        <v>5.9482421875</v>
      </c>
      <c r="E42" s="3" t="s">
        <v>6</v>
      </c>
      <c r="F42" t="s">
        <v>84</v>
      </c>
      <c r="G42" t="s">
        <v>474</v>
      </c>
      <c r="K42" t="str" cm="1">
        <f t="array" ref="K42">IF(_xlfn.XLOOKUP(TRIM(A42),TRIM('Espai x esquema'!$A:$A),'Espai x esquema'!$E:$E,"",0)="Sí, però",
   "Sí",
   _xlfn.XLOOKUP(TRIM(A42),TRIM('Espai x esquema'!$A:$A),'Espai x esquema'!$E:$E,"",0))</f>
        <v>No</v>
      </c>
    </row>
    <row r="43" spans="1:11">
      <c r="A43" t="s">
        <v>475</v>
      </c>
      <c r="B43" t="s">
        <v>476</v>
      </c>
      <c r="C43">
        <v>5692</v>
      </c>
      <c r="D43">
        <f>new_212__3[[#This Row],[MBYTES]]/1024</f>
        <v>5.55859375</v>
      </c>
      <c r="E43" s="3" t="s">
        <v>5</v>
      </c>
      <c r="K43" t="str" cm="1">
        <f t="array" ref="K43">IF(_xlfn.XLOOKUP(TRIM(A43),TRIM('Espai x esquema'!$A:$A),'Espai x esquema'!$E:$E,"",0)="Sí, però",
   "Sí",
   _xlfn.XLOOKUP(TRIM(A43),TRIM('Espai x esquema'!$A:$A),'Espai x esquema'!$E:$E,"",0))</f>
        <v>No</v>
      </c>
    </row>
    <row r="44" spans="1:11">
      <c r="A44" t="s">
        <v>477</v>
      </c>
      <c r="B44" t="s">
        <v>478</v>
      </c>
      <c r="C44">
        <v>5381</v>
      </c>
      <c r="D44">
        <f>new_212__3[[#This Row],[MBYTES]]/1024</f>
        <v>5.2548828125</v>
      </c>
      <c r="E44" s="3" t="s">
        <v>6</v>
      </c>
      <c r="F44" t="s">
        <v>84</v>
      </c>
      <c r="K44" t="str" cm="1">
        <f t="array" ref="K44">IF(_xlfn.XLOOKUP(TRIM(A44),TRIM('Espai x esquema'!$A:$A),'Espai x esquema'!$E:$E,"",0)="Sí, però",
   "Sí",
   _xlfn.XLOOKUP(TRIM(A44),TRIM('Espai x esquema'!$A:$A),'Espai x esquema'!$E:$E,"",0))</f>
        <v>No</v>
      </c>
    </row>
    <row r="45" spans="1:11">
      <c r="A45" t="s">
        <v>479</v>
      </c>
      <c r="B45" t="s">
        <v>480</v>
      </c>
      <c r="C45">
        <v>5214</v>
      </c>
      <c r="D45">
        <f>new_212__3[[#This Row],[MBYTES]]/1024</f>
        <v>5.091796875</v>
      </c>
      <c r="E45" s="3" t="s">
        <v>6</v>
      </c>
      <c r="F45" t="s">
        <v>84</v>
      </c>
      <c r="H45" t="s">
        <v>481</v>
      </c>
      <c r="K45" t="str" cm="1">
        <f t="array" ref="K45">IF(_xlfn.XLOOKUP(TRIM(A45),TRIM('Espai x esquema'!$A:$A),'Espai x esquema'!$E:$E,"",0)="Sí, però",
   "Sí",
   _xlfn.XLOOKUP(TRIM(A45),TRIM('Espai x esquema'!$A:$A),'Espai x esquema'!$E:$E,"",0))</f>
        <v>No</v>
      </c>
    </row>
    <row r="46" spans="1:11">
      <c r="A46" t="s">
        <v>58</v>
      </c>
      <c r="B46" t="s">
        <v>482</v>
      </c>
      <c r="C46">
        <v>5039</v>
      </c>
      <c r="D46">
        <f>new_212__3[[#This Row],[MBYTES]]/1024</f>
        <v>4.9208984375</v>
      </c>
      <c r="E46" s="3" t="s">
        <v>8</v>
      </c>
      <c r="F46" t="s">
        <v>159</v>
      </c>
      <c r="I46" t="s">
        <v>160</v>
      </c>
      <c r="J46" t="s">
        <v>56</v>
      </c>
      <c r="K46" t="str" cm="1">
        <f t="array" ref="K46">IF(_xlfn.XLOOKUP(TRIM(A46),TRIM('Espai x esquema'!$A:$A),'Espai x esquema'!$E:$E,"",0)="Sí, però",
   "Sí",
   _xlfn.XLOOKUP(TRIM(A46),TRIM('Espai x esquema'!$A:$A),'Espai x esquema'!$E:$E,"",0))</f>
        <v>Sí</v>
      </c>
    </row>
    <row r="47" spans="1:11">
      <c r="A47" t="s">
        <v>483</v>
      </c>
      <c r="B47" t="s">
        <v>484</v>
      </c>
      <c r="C47">
        <v>4874</v>
      </c>
      <c r="D47">
        <f>new_212__3[[#This Row],[MBYTES]]/1024</f>
        <v>4.759765625</v>
      </c>
      <c r="E47" s="3" t="s">
        <v>5</v>
      </c>
      <c r="K47" t="str" cm="1">
        <f t="array" ref="K47">IF(_xlfn.XLOOKUP(TRIM(A47),TRIM('Espai x esquema'!$A:$A),'Espai x esquema'!$E:$E,"",0)="Sí, però",
   "Sí",
   _xlfn.XLOOKUP(TRIM(A47),TRIM('Espai x esquema'!$A:$A),'Espai x esquema'!$E:$E,"",0))</f>
        <v>??</v>
      </c>
    </row>
    <row r="48" spans="1:11">
      <c r="A48" t="s">
        <v>485</v>
      </c>
      <c r="B48" t="s">
        <v>486</v>
      </c>
      <c r="C48">
        <v>4602</v>
      </c>
      <c r="D48">
        <f>new_212__3[[#This Row],[MBYTES]]/1024</f>
        <v>4.494140625</v>
      </c>
      <c r="E48" s="3" t="s">
        <v>6</v>
      </c>
      <c r="F48" t="s">
        <v>84</v>
      </c>
      <c r="K48" t="str" cm="1">
        <f t="array" ref="K48">IF(_xlfn.XLOOKUP(TRIM(A48),TRIM('Espai x esquema'!$A:$A),'Espai x esquema'!$E:$E,"",0)="Sí, però",
   "Sí",
   _xlfn.XLOOKUP(TRIM(A48),TRIM('Espai x esquema'!$A:$A),'Espai x esquema'!$E:$E,"",0))</f>
        <v>No</v>
      </c>
    </row>
    <row r="49" spans="1:11">
      <c r="A49" t="s">
        <v>475</v>
      </c>
      <c r="B49" t="s">
        <v>487</v>
      </c>
      <c r="C49">
        <v>4393</v>
      </c>
      <c r="D49">
        <v>4.290039063</v>
      </c>
      <c r="E49" s="3" t="s">
        <v>6</v>
      </c>
      <c r="F49" t="s">
        <v>116</v>
      </c>
      <c r="G49" t="s">
        <v>422</v>
      </c>
      <c r="H49" t="s">
        <v>488</v>
      </c>
      <c r="K49" t="str" cm="1">
        <f t="array" ref="K49">IF(_xlfn.XLOOKUP(TRIM(A49),TRIM('Espai x esquema'!$A:$A),'Espai x esquema'!$E:$E,"",0)="Sí, però",
   "Sí",
   _xlfn.XLOOKUP(TRIM(A49),TRIM('Espai x esquema'!$A:$A),'Espai x esquema'!$E:$E,"",0))</f>
        <v>No</v>
      </c>
    </row>
    <row r="50" spans="1:11">
      <c r="A50" t="s">
        <v>489</v>
      </c>
      <c r="B50" t="s">
        <v>490</v>
      </c>
      <c r="C50">
        <v>4381</v>
      </c>
      <c r="D50">
        <v>4.278320313</v>
      </c>
      <c r="E50" s="3" t="s">
        <v>6</v>
      </c>
      <c r="F50" t="s">
        <v>116</v>
      </c>
      <c r="G50" t="s">
        <v>422</v>
      </c>
      <c r="H50" t="s">
        <v>491</v>
      </c>
      <c r="K50" t="str" cm="1">
        <f t="array" ref="K50">IF(_xlfn.XLOOKUP(TRIM(A50),TRIM('Espai x esquema'!$A:$A),'Espai x esquema'!$E:$E,"",0)="Sí, però",
   "Sí",
   _xlfn.XLOOKUP(TRIM(A50),TRIM('Espai x esquema'!$A:$A),'Espai x esquema'!$E:$E,"",0))</f>
        <v>No</v>
      </c>
    </row>
    <row r="51" spans="1:11">
      <c r="A51" t="s">
        <v>37</v>
      </c>
      <c r="B51" t="s">
        <v>492</v>
      </c>
      <c r="C51">
        <v>4358</v>
      </c>
      <c r="D51">
        <f>new_212__3[[#This Row],[MBYTES]]/1024</f>
        <v>4.255859375</v>
      </c>
      <c r="E51" s="3" t="s">
        <v>8</v>
      </c>
      <c r="F51" t="s">
        <v>84</v>
      </c>
      <c r="I51" t="s">
        <v>493</v>
      </c>
      <c r="J51" t="s">
        <v>31</v>
      </c>
      <c r="K51" t="str" cm="1">
        <f t="array" ref="K51">IF(_xlfn.XLOOKUP(TRIM(A51),TRIM('Espai x esquema'!$A:$A),'Espai x esquema'!$E:$E,"",0)="Sí, però",
   "Sí",
   _xlfn.XLOOKUP(TRIM(A51),TRIM('Espai x esquema'!$A:$A),'Espai x esquema'!$E:$E,"",0))</f>
        <v>No</v>
      </c>
    </row>
    <row r="52" spans="1:11">
      <c r="A52" t="s">
        <v>472</v>
      </c>
      <c r="B52" t="s">
        <v>494</v>
      </c>
      <c r="C52">
        <v>4353</v>
      </c>
      <c r="D52">
        <f>new_212__3[[#This Row],[MBYTES]]/1024</f>
        <v>4.2509765625</v>
      </c>
      <c r="E52" s="3" t="s">
        <v>6</v>
      </c>
      <c r="F52" t="s">
        <v>84</v>
      </c>
      <c r="G52" t="s">
        <v>428</v>
      </c>
      <c r="K52" t="str" cm="1">
        <f t="array" ref="K52">IF(_xlfn.XLOOKUP(TRIM(A52),TRIM('Espai x esquema'!$A:$A),'Espai x esquema'!$E:$E,"",0)="Sí, però",
   "Sí",
   _xlfn.XLOOKUP(TRIM(A52),TRIM('Espai x esquema'!$A:$A),'Espai x esquema'!$E:$E,"",0))</f>
        <v>No</v>
      </c>
    </row>
    <row r="53" spans="1:11">
      <c r="A53" t="s">
        <v>495</v>
      </c>
      <c r="B53" t="s">
        <v>496</v>
      </c>
      <c r="C53">
        <v>4293</v>
      </c>
      <c r="D53">
        <v>4.192382813</v>
      </c>
      <c r="E53" s="3" t="s">
        <v>6</v>
      </c>
      <c r="F53" t="s">
        <v>116</v>
      </c>
      <c r="G53" t="s">
        <v>422</v>
      </c>
      <c r="K53" t="str" cm="1">
        <f t="array" ref="K53">IF(_xlfn.XLOOKUP(TRIM(A53),TRIM('Espai x esquema'!$A:$A),'Espai x esquema'!$E:$E,"",0)="Sí, però",
   "Sí",
   _xlfn.XLOOKUP(TRIM(A53),TRIM('Espai x esquema'!$A:$A),'Espai x esquema'!$E:$E,"",0))</f>
        <v>No</v>
      </c>
    </row>
    <row r="54" spans="1:11">
      <c r="A54" t="s">
        <v>485</v>
      </c>
      <c r="B54" t="s">
        <v>497</v>
      </c>
      <c r="C54">
        <v>4256</v>
      </c>
      <c r="D54">
        <f>new_212__3[[#This Row],[MBYTES]]/1024</f>
        <v>4.15625</v>
      </c>
      <c r="E54" s="3" t="s">
        <v>6</v>
      </c>
      <c r="F54" t="s">
        <v>84</v>
      </c>
      <c r="K54" t="str" cm="1">
        <f t="array" ref="K54">IF(_xlfn.XLOOKUP(TRIM(A54),TRIM('Espai x esquema'!$A:$A),'Espai x esquema'!$E:$E,"",0)="Sí, però",
   "Sí",
   _xlfn.XLOOKUP(TRIM(A54),TRIM('Espai x esquema'!$A:$A),'Espai x esquema'!$E:$E,"",0))</f>
        <v>No</v>
      </c>
    </row>
    <row r="55" spans="1:11">
      <c r="A55" t="s">
        <v>22</v>
      </c>
      <c r="B55" t="s">
        <v>498</v>
      </c>
      <c r="C55">
        <v>3909</v>
      </c>
      <c r="D55">
        <f>new_212__3[[#This Row],[MBYTES]]/1024</f>
        <v>3.8173828125</v>
      </c>
      <c r="E55" s="3" t="s">
        <v>8</v>
      </c>
      <c r="F55" t="s">
        <v>84</v>
      </c>
      <c r="G55" t="s">
        <v>464</v>
      </c>
      <c r="I55" t="s">
        <v>465</v>
      </c>
      <c r="J55" t="s">
        <v>15</v>
      </c>
      <c r="K55" t="str" cm="1">
        <f t="array" ref="K55">IF(_xlfn.XLOOKUP(TRIM(A55),TRIM('Espai x esquema'!$A:$A),'Espai x esquema'!$E:$E,"",0)="Sí, però",
   "Sí",
   _xlfn.XLOOKUP(TRIM(A55),TRIM('Espai x esquema'!$A:$A),'Espai x esquema'!$E:$E,"",0))</f>
        <v>No</v>
      </c>
    </row>
    <row r="56" spans="1:11">
      <c r="A56" t="s">
        <v>22</v>
      </c>
      <c r="B56" t="s">
        <v>499</v>
      </c>
      <c r="C56">
        <v>3904</v>
      </c>
      <c r="D56">
        <f>new_212__3[[#This Row],[MBYTES]]/1024</f>
        <v>3.8125</v>
      </c>
      <c r="E56" s="3" t="s">
        <v>8</v>
      </c>
      <c r="F56" t="s">
        <v>84</v>
      </c>
      <c r="G56" t="s">
        <v>464</v>
      </c>
      <c r="I56" t="s">
        <v>465</v>
      </c>
      <c r="J56" t="s">
        <v>15</v>
      </c>
      <c r="K56" t="str" cm="1">
        <f t="array" ref="K56">IF(_xlfn.XLOOKUP(TRIM(A56),TRIM('Espai x esquema'!$A:$A),'Espai x esquema'!$E:$E,"",0)="Sí, però",
   "Sí",
   _xlfn.XLOOKUP(TRIM(A56),TRIM('Espai x esquema'!$A:$A),'Espai x esquema'!$E:$E,"",0))</f>
        <v>No</v>
      </c>
    </row>
    <row r="57" spans="1:11">
      <c r="A57" t="s">
        <v>500</v>
      </c>
      <c r="B57" t="s">
        <v>501</v>
      </c>
      <c r="C57">
        <v>3890</v>
      </c>
      <c r="D57">
        <v>3.798828125</v>
      </c>
      <c r="E57" s="3" t="s">
        <v>6</v>
      </c>
      <c r="F57" t="s">
        <v>116</v>
      </c>
      <c r="G57" t="s">
        <v>422</v>
      </c>
      <c r="K57" t="str" cm="1">
        <f t="array" ref="K57">IF(_xlfn.XLOOKUP(TRIM(A57),TRIM('Espai x esquema'!$A:$A),'Espai x esquema'!$E:$E,"",0)="Sí, però",
   "Sí",
   _xlfn.XLOOKUP(TRIM(A57),TRIM('Espai x esquema'!$A:$A),'Espai x esquema'!$E:$E,"",0))</f>
        <v>No</v>
      </c>
    </row>
    <row r="58" spans="1:11">
      <c r="A58" t="s">
        <v>22</v>
      </c>
      <c r="B58" t="s">
        <v>502</v>
      </c>
      <c r="C58">
        <v>3885</v>
      </c>
      <c r="D58">
        <f>new_212__3[[#This Row],[MBYTES]]/1024</f>
        <v>3.7939453125</v>
      </c>
      <c r="E58" s="3" t="s">
        <v>8</v>
      </c>
      <c r="F58" t="s">
        <v>84</v>
      </c>
      <c r="G58" t="s">
        <v>464</v>
      </c>
      <c r="I58" t="s">
        <v>465</v>
      </c>
      <c r="J58" t="s">
        <v>15</v>
      </c>
      <c r="K58" t="str" cm="1">
        <f t="array" ref="K58">IF(_xlfn.XLOOKUP(TRIM(A58),TRIM('Espai x esquema'!$A:$A),'Espai x esquema'!$E:$E,"",0)="Sí, però",
   "Sí",
   _xlfn.XLOOKUP(TRIM(A58),TRIM('Espai x esquema'!$A:$A),'Espai x esquema'!$E:$E,"",0))</f>
        <v>No</v>
      </c>
    </row>
    <row r="59" spans="1:11">
      <c r="A59" t="s">
        <v>436</v>
      </c>
      <c r="B59" t="s">
        <v>503</v>
      </c>
      <c r="C59">
        <v>3755</v>
      </c>
      <c r="D59">
        <v>3.666992188</v>
      </c>
      <c r="E59" s="3" t="s">
        <v>6</v>
      </c>
      <c r="F59" t="s">
        <v>116</v>
      </c>
      <c r="G59" t="s">
        <v>422</v>
      </c>
      <c r="H59" t="s">
        <v>504</v>
      </c>
      <c r="K59" t="str" cm="1">
        <f t="array" ref="K59">IF(_xlfn.XLOOKUP(TRIM(A59),TRIM('Espai x esquema'!$A:$A),'Espai x esquema'!$E:$E,"",0)="Sí, però",
   "Sí",
   _xlfn.XLOOKUP(TRIM(A59),TRIM('Espai x esquema'!$A:$A),'Espai x esquema'!$E:$E,"",0))</f>
        <v>No</v>
      </c>
    </row>
    <row r="60" spans="1:11">
      <c r="A60" t="s">
        <v>505</v>
      </c>
      <c r="B60" t="s">
        <v>506</v>
      </c>
      <c r="C60">
        <v>3730</v>
      </c>
      <c r="D60">
        <v>3.642578125</v>
      </c>
      <c r="E60" s="3" t="s">
        <v>6</v>
      </c>
      <c r="F60" t="s">
        <v>116</v>
      </c>
      <c r="G60" t="s">
        <v>422</v>
      </c>
      <c r="K60" t="str" cm="1">
        <f t="array" ref="K60">IF(_xlfn.XLOOKUP(TRIM(A60),TRIM('Espai x esquema'!$A:$A),'Espai x esquema'!$E:$E,"",0)="Sí, però",
   "Sí",
   _xlfn.XLOOKUP(TRIM(A60),TRIM('Espai x esquema'!$A:$A),'Espai x esquema'!$E:$E,"",0))</f>
        <v>No</v>
      </c>
    </row>
    <row r="61" spans="1:11">
      <c r="A61" t="s">
        <v>507</v>
      </c>
      <c r="B61" t="s">
        <v>508</v>
      </c>
      <c r="C61">
        <v>3648</v>
      </c>
      <c r="D61">
        <f>new_212__3[[#This Row],[MBYTES]]/1024</f>
        <v>3.5625</v>
      </c>
      <c r="E61" s="3" t="s">
        <v>6</v>
      </c>
      <c r="F61" t="s">
        <v>84</v>
      </c>
      <c r="G61" t="s">
        <v>428</v>
      </c>
      <c r="K61" t="str" cm="1">
        <f t="array" ref="K61">IF(_xlfn.XLOOKUP(TRIM(A61),TRIM('Espai x esquema'!$A:$A),'Espai x esquema'!$E:$E,"",0)="Sí, però",
   "Sí",
   _xlfn.XLOOKUP(TRIM(A61),TRIM('Espai x esquema'!$A:$A),'Espai x esquema'!$E:$E,"",0))</f>
        <v>No</v>
      </c>
    </row>
    <row r="62" spans="1:11">
      <c r="A62" t="s">
        <v>509</v>
      </c>
      <c r="B62" t="s">
        <v>510</v>
      </c>
      <c r="C62">
        <v>3459</v>
      </c>
      <c r="D62">
        <f>new_212__3[[#This Row],[MBYTES]]/1024</f>
        <v>3.3779296875</v>
      </c>
      <c r="E62" s="3" t="s">
        <v>5</v>
      </c>
      <c r="K62" t="str" cm="1">
        <f t="array" ref="K62">IF(_xlfn.XLOOKUP(TRIM(A62),TRIM('Espai x esquema'!$A:$A),'Espai x esquema'!$E:$E,"",0)="Sí, però",
   "Sí",
   _xlfn.XLOOKUP(TRIM(A62),TRIM('Espai x esquema'!$A:$A),'Espai x esquema'!$E:$E,"",0))</f>
        <v>??</v>
      </c>
    </row>
    <row r="63" spans="1:11">
      <c r="A63" t="s">
        <v>441</v>
      </c>
      <c r="B63" t="s">
        <v>511</v>
      </c>
      <c r="C63">
        <v>3270</v>
      </c>
      <c r="D63">
        <v>3.193359375</v>
      </c>
      <c r="E63" s="3" t="s">
        <v>6</v>
      </c>
      <c r="F63" t="s">
        <v>116</v>
      </c>
      <c r="G63" t="s">
        <v>422</v>
      </c>
      <c r="K63" t="str" cm="1">
        <f t="array" ref="K63">IF(_xlfn.XLOOKUP(TRIM(A63),TRIM('Espai x esquema'!$A:$A),'Espai x esquema'!$E:$E,"",0)="Sí, però",
   "Sí",
   _xlfn.XLOOKUP(TRIM(A63),TRIM('Espai x esquema'!$A:$A),'Espai x esquema'!$E:$E,"",0))</f>
        <v>No</v>
      </c>
    </row>
    <row r="64" spans="1:11">
      <c r="A64" t="s">
        <v>436</v>
      </c>
      <c r="B64" t="s">
        <v>512</v>
      </c>
      <c r="C64">
        <v>3217</v>
      </c>
      <c r="D64">
        <v>3.141601563</v>
      </c>
      <c r="E64" s="3" t="s">
        <v>6</v>
      </c>
      <c r="F64" t="s">
        <v>116</v>
      </c>
      <c r="G64" t="s">
        <v>422</v>
      </c>
      <c r="K64" t="str" cm="1">
        <f t="array" ref="K64">IF(_xlfn.XLOOKUP(TRIM(A64),TRIM('Espai x esquema'!$A:$A),'Espai x esquema'!$E:$E,"",0)="Sí, però",
   "Sí",
   _xlfn.XLOOKUP(TRIM(A64),TRIM('Espai x esquema'!$A:$A),'Espai x esquema'!$E:$E,"",0))</f>
        <v>No</v>
      </c>
    </row>
    <row r="65" spans="1:11">
      <c r="A65" t="s">
        <v>513</v>
      </c>
      <c r="B65" t="s">
        <v>514</v>
      </c>
      <c r="C65">
        <v>2947</v>
      </c>
      <c r="D65">
        <v>2.877929688</v>
      </c>
      <c r="E65" s="3" t="s">
        <v>6</v>
      </c>
      <c r="F65" t="s">
        <v>116</v>
      </c>
      <c r="G65" t="s">
        <v>422</v>
      </c>
      <c r="K65" t="str" cm="1">
        <f t="array" ref="K65">IF(_xlfn.XLOOKUP(TRIM(A65),TRIM('Espai x esquema'!$A:$A),'Espai x esquema'!$E:$E,"",0)="Sí, però",
   "Sí",
   _xlfn.XLOOKUP(TRIM(A65),TRIM('Espai x esquema'!$A:$A),'Espai x esquema'!$E:$E,"",0))</f>
        <v>No</v>
      </c>
    </row>
    <row r="66" spans="1:11">
      <c r="A66" t="s">
        <v>420</v>
      </c>
      <c r="B66" t="s">
        <v>515</v>
      </c>
      <c r="C66">
        <v>2944</v>
      </c>
      <c r="D66">
        <v>2.875</v>
      </c>
      <c r="E66" s="3" t="s">
        <v>6</v>
      </c>
      <c r="F66" t="s">
        <v>116</v>
      </c>
      <c r="G66" t="s">
        <v>422</v>
      </c>
      <c r="K66" t="str" cm="1">
        <f t="array" ref="K66">IF(_xlfn.XLOOKUP(TRIM(A66),TRIM('Espai x esquema'!$A:$A),'Espai x esquema'!$E:$E,"",0)="Sí, però",
   "Sí",
   _xlfn.XLOOKUP(TRIM(A66),TRIM('Espai x esquema'!$A:$A),'Espai x esquema'!$E:$E,"",0))</f>
        <v>No</v>
      </c>
    </row>
    <row r="67" spans="1:11">
      <c r="A67" t="s">
        <v>516</v>
      </c>
      <c r="B67" t="s">
        <v>517</v>
      </c>
      <c r="C67">
        <v>2944</v>
      </c>
      <c r="D67">
        <f>new_212__3[[#This Row],[MBYTES]]/1024</f>
        <v>2.875</v>
      </c>
      <c r="E67" s="3" t="s">
        <v>6</v>
      </c>
      <c r="F67" t="s">
        <v>84</v>
      </c>
      <c r="G67" t="s">
        <v>428</v>
      </c>
      <c r="K67" t="str" cm="1">
        <f t="array" ref="K67">IF(_xlfn.XLOOKUP(TRIM(A67),TRIM('Espai x esquema'!$A:$A),'Espai x esquema'!$E:$E,"",0)="Sí, però",
   "Sí",
   _xlfn.XLOOKUP(TRIM(A67),TRIM('Espai x esquema'!$A:$A),'Espai x esquema'!$E:$E,"",0))</f>
        <v>No</v>
      </c>
    </row>
    <row r="68" spans="1:11">
      <c r="A68" t="s">
        <v>505</v>
      </c>
      <c r="B68" t="s">
        <v>518</v>
      </c>
      <c r="C68">
        <v>2883</v>
      </c>
      <c r="D68">
        <v>2.815429688</v>
      </c>
      <c r="E68" s="3" t="s">
        <v>6</v>
      </c>
      <c r="F68" t="s">
        <v>116</v>
      </c>
      <c r="G68" t="s">
        <v>422</v>
      </c>
      <c r="K68" t="str" cm="1">
        <f t="array" ref="K68">IF(_xlfn.XLOOKUP(TRIM(A68),TRIM('Espai x esquema'!$A:$A),'Espai x esquema'!$E:$E,"",0)="Sí, però",
   "Sí",
   _xlfn.XLOOKUP(TRIM(A68),TRIM('Espai x esquema'!$A:$A),'Espai x esquema'!$E:$E,"",0))</f>
        <v>No</v>
      </c>
    </row>
    <row r="69" spans="1:11">
      <c r="A69" t="s">
        <v>434</v>
      </c>
      <c r="B69" t="s">
        <v>408</v>
      </c>
      <c r="C69">
        <v>2694</v>
      </c>
      <c r="D69">
        <f>new_212__3[[#This Row],[MBYTES]]/1024</f>
        <v>2.630859375</v>
      </c>
      <c r="E69" s="3" t="s">
        <v>6</v>
      </c>
      <c r="F69" t="s">
        <v>84</v>
      </c>
      <c r="G69" t="s">
        <v>426</v>
      </c>
      <c r="K69" t="str" cm="1">
        <f t="array" ref="K69">IF(_xlfn.XLOOKUP(TRIM(A69),TRIM('Espai x esquema'!$A:$A),'Espai x esquema'!$E:$E,"",0)="Sí, però",
   "Sí",
   _xlfn.XLOOKUP(TRIM(A69),TRIM('Espai x esquema'!$A:$A),'Espai x esquema'!$E:$E,"",0))</f>
        <v>No</v>
      </c>
    </row>
    <row r="70" spans="1:11">
      <c r="A70" t="s">
        <v>17</v>
      </c>
      <c r="B70" t="s">
        <v>519</v>
      </c>
      <c r="C70">
        <v>2647</v>
      </c>
      <c r="D70">
        <f>new_212__3[[#This Row],[MBYTES]]/1024</f>
        <v>2.5849609375</v>
      </c>
      <c r="E70" s="3" t="s">
        <v>8</v>
      </c>
      <c r="F70" t="s">
        <v>84</v>
      </c>
      <c r="H70" t="s">
        <v>520</v>
      </c>
      <c r="J70" t="s">
        <v>5</v>
      </c>
      <c r="K70" t="str" cm="1">
        <f t="array" ref="K70">IF(_xlfn.XLOOKUP(TRIM(A70),TRIM('Espai x esquema'!$A:$A),'Espai x esquema'!$E:$E,"",0)="Sí, però",
   "Sí",
   _xlfn.XLOOKUP(TRIM(A70),TRIM('Espai x esquema'!$A:$A),'Espai x esquema'!$E:$E,"",0))</f>
        <v>??</v>
      </c>
    </row>
    <row r="71" spans="1:11">
      <c r="A71" t="s">
        <v>521</v>
      </c>
      <c r="B71" t="s">
        <v>522</v>
      </c>
      <c r="C71">
        <v>2561</v>
      </c>
      <c r="D71">
        <v>2.500976563</v>
      </c>
      <c r="E71" s="3" t="s">
        <v>6</v>
      </c>
      <c r="F71" t="s">
        <v>116</v>
      </c>
      <c r="G71" t="s">
        <v>422</v>
      </c>
      <c r="K71" t="str" cm="1">
        <f t="array" ref="K71">IF(_xlfn.XLOOKUP(TRIM(A71),TRIM('Espai x esquema'!$A:$A),'Espai x esquema'!$E:$E,"",0)="Sí, però",
   "Sí",
   _xlfn.XLOOKUP(TRIM(A71),TRIM('Espai x esquema'!$A:$A),'Espai x esquema'!$E:$E,"",0))</f>
        <v>No</v>
      </c>
    </row>
    <row r="72" spans="1:11">
      <c r="A72" t="s">
        <v>34</v>
      </c>
      <c r="B72" t="s">
        <v>408</v>
      </c>
      <c r="C72">
        <v>2560</v>
      </c>
      <c r="D72">
        <f>new_212__3[[#This Row],[MBYTES]]/1024</f>
        <v>2.5</v>
      </c>
      <c r="E72" s="3" t="s">
        <v>6</v>
      </c>
      <c r="F72" t="s">
        <v>84</v>
      </c>
      <c r="G72" t="s">
        <v>523</v>
      </c>
      <c r="K72" t="str" cm="1">
        <f t="array" ref="K72">IF(_xlfn.XLOOKUP(TRIM(A72),TRIM('Espai x esquema'!$A:$A),'Espai x esquema'!$E:$E,"",0)="Sí, però",
   "Sí",
   _xlfn.XLOOKUP(TRIM(A72),TRIM('Espai x esquema'!$A:$A),'Espai x esquema'!$E:$E,"",0))</f>
        <v>No</v>
      </c>
    </row>
    <row r="73" spans="1:11">
      <c r="A73" t="s">
        <v>415</v>
      </c>
      <c r="B73" t="s">
        <v>524</v>
      </c>
      <c r="C73">
        <v>2560</v>
      </c>
      <c r="D73">
        <f>new_212__3[[#This Row],[MBYTES]]/1024</f>
        <v>2.5</v>
      </c>
      <c r="E73" s="3" t="s">
        <v>6</v>
      </c>
      <c r="F73" t="s">
        <v>84</v>
      </c>
      <c r="G73" t="s">
        <v>417</v>
      </c>
      <c r="K73" t="str" cm="1">
        <f t="array" ref="K73">IF(_xlfn.XLOOKUP(TRIM(A73),TRIM('Espai x esquema'!$A:$A),'Espai x esquema'!$E:$E,"",0)="Sí, però",
   "Sí",
   _xlfn.XLOOKUP(TRIM(A73),TRIM('Espai x esquema'!$A:$A),'Espai x esquema'!$E:$E,"",0))</f>
        <v>No</v>
      </c>
    </row>
    <row r="74" spans="1:11">
      <c r="A74" t="s">
        <v>451</v>
      </c>
      <c r="B74" t="s">
        <v>525</v>
      </c>
      <c r="C74">
        <v>2451</v>
      </c>
      <c r="D74">
        <f>new_212__3[[#This Row],[MBYTES]]/1024</f>
        <v>2.3935546875</v>
      </c>
      <c r="E74" s="3" t="s">
        <v>6</v>
      </c>
      <c r="F74" t="s">
        <v>84</v>
      </c>
      <c r="H74" t="s">
        <v>440</v>
      </c>
      <c r="K74" t="str" cm="1">
        <f t="array" ref="K74">IF(_xlfn.XLOOKUP(TRIM(A74),TRIM('Espai x esquema'!$A:$A),'Espai x esquema'!$E:$E,"",0)="Sí, però",
   "Sí",
   _xlfn.XLOOKUP(TRIM(A74),TRIM('Espai x esquema'!$A:$A),'Espai x esquema'!$E:$E,"",0))</f>
        <v>No</v>
      </c>
    </row>
    <row r="75" spans="1:11">
      <c r="A75" t="s">
        <v>20</v>
      </c>
      <c r="B75" t="s">
        <v>526</v>
      </c>
      <c r="C75">
        <v>2437</v>
      </c>
      <c r="D75">
        <f>new_212__3[[#This Row],[MBYTES]]/1024</f>
        <v>2.3798828125</v>
      </c>
      <c r="E75" s="3" t="s">
        <v>6</v>
      </c>
      <c r="F75" t="s">
        <v>84</v>
      </c>
      <c r="H75" t="s">
        <v>440</v>
      </c>
      <c r="K75" t="str" cm="1">
        <f t="array" ref="K75">IF(_xlfn.XLOOKUP(TRIM(A75),TRIM('Espai x esquema'!$A:$A),'Espai x esquema'!$E:$E,"",0)="Sí, però",
   "Sí",
   _xlfn.XLOOKUP(TRIM(A75),TRIM('Espai x esquema'!$A:$A),'Espai x esquema'!$E:$E,"",0))</f>
        <v>No</v>
      </c>
    </row>
    <row r="76" spans="1:11">
      <c r="A76" t="s">
        <v>469</v>
      </c>
      <c r="B76" t="s">
        <v>527</v>
      </c>
      <c r="C76">
        <v>2432</v>
      </c>
      <c r="D76">
        <f>new_212__3[[#This Row],[MBYTES]]/1024</f>
        <v>2.375</v>
      </c>
      <c r="E76" s="3" t="s">
        <v>6</v>
      </c>
      <c r="F76" t="s">
        <v>84</v>
      </c>
      <c r="K76" t="str" cm="1">
        <f t="array" ref="K76">IF(_xlfn.XLOOKUP(TRIM(A76),TRIM('Espai x esquema'!$A:$A),'Espai x esquema'!$E:$E,"",0)="Sí, però",
   "Sí",
   _xlfn.XLOOKUP(TRIM(A76),TRIM('Espai x esquema'!$A:$A),'Espai x esquema'!$E:$E,"",0))</f>
        <v>No</v>
      </c>
    </row>
    <row r="77" spans="1:11">
      <c r="A77" t="s">
        <v>528</v>
      </c>
      <c r="B77" t="s">
        <v>529</v>
      </c>
      <c r="C77">
        <v>2376</v>
      </c>
      <c r="D77">
        <f>new_212__3[[#This Row],[MBYTES]]/1024</f>
        <v>2.3203125</v>
      </c>
      <c r="E77" s="3" t="s">
        <v>6</v>
      </c>
      <c r="F77" t="s">
        <v>84</v>
      </c>
      <c r="G77" t="s">
        <v>530</v>
      </c>
      <c r="K77" t="str" cm="1">
        <f t="array" ref="K77">IF(_xlfn.XLOOKUP(TRIM(A77),TRIM('Espai x esquema'!$A:$A),'Espai x esquema'!$E:$E,"",0)="Sí, però",
   "Sí",
   _xlfn.XLOOKUP(TRIM(A77),TRIM('Espai x esquema'!$A:$A),'Espai x esquema'!$E:$E,"",0))</f>
        <v>No</v>
      </c>
    </row>
    <row r="78" spans="1:11">
      <c r="A78" t="s">
        <v>438</v>
      </c>
      <c r="B78" t="s">
        <v>531</v>
      </c>
      <c r="C78">
        <v>2374</v>
      </c>
      <c r="D78">
        <f>new_212__3[[#This Row],[MBYTES]]/1024</f>
        <v>2.318359375</v>
      </c>
      <c r="E78" s="3" t="s">
        <v>6</v>
      </c>
      <c r="F78" t="s">
        <v>84</v>
      </c>
      <c r="H78" t="s">
        <v>440</v>
      </c>
      <c r="K78" t="str" cm="1">
        <f t="array" ref="K78">IF(_xlfn.XLOOKUP(TRIM(A78),TRIM('Espai x esquema'!$A:$A),'Espai x esquema'!$E:$E,"",0)="Sí, però",
   "Sí",
   _xlfn.XLOOKUP(TRIM(A78),TRIM('Espai x esquema'!$A:$A),'Espai x esquema'!$E:$E,"",0))</f>
        <v>No</v>
      </c>
    </row>
    <row r="79" spans="1:11">
      <c r="A79" t="s">
        <v>30</v>
      </c>
      <c r="B79" t="s">
        <v>532</v>
      </c>
      <c r="C79">
        <v>2314</v>
      </c>
      <c r="D79">
        <f>new_212__3[[#This Row],[MBYTES]]/1024</f>
        <v>2.259765625</v>
      </c>
      <c r="E79" s="3" t="s">
        <v>6</v>
      </c>
      <c r="F79" t="s">
        <v>84</v>
      </c>
      <c r="H79" t="s">
        <v>440</v>
      </c>
      <c r="K79" t="str" cm="1">
        <f t="array" ref="K79">IF(_xlfn.XLOOKUP(TRIM(A79),TRIM('Espai x esquema'!$A:$A),'Espai x esquema'!$E:$E,"",0)="Sí, però",
   "Sí",
   _xlfn.XLOOKUP(TRIM(A79),TRIM('Espai x esquema'!$A:$A),'Espai x esquema'!$E:$E,"",0))</f>
        <v>No</v>
      </c>
    </row>
    <row r="80" spans="1:11">
      <c r="A80" t="s">
        <v>405</v>
      </c>
      <c r="B80" t="s">
        <v>533</v>
      </c>
      <c r="C80">
        <v>2274</v>
      </c>
      <c r="D80">
        <f>new_212__3[[#This Row],[MBYTES]]/1024</f>
        <v>2.220703125</v>
      </c>
      <c r="E80" s="3" t="s">
        <v>6</v>
      </c>
      <c r="F80" t="s">
        <v>84</v>
      </c>
      <c r="K80" t="str" cm="1">
        <f t="array" ref="K80">IF(_xlfn.XLOOKUP(TRIM(A80),TRIM('Espai x esquema'!$A:$A),'Espai x esquema'!$E:$E,"",0)="Sí, però",
   "Sí",
   _xlfn.XLOOKUP(TRIM(A80),TRIM('Espai x esquema'!$A:$A),'Espai x esquema'!$E:$E,"",0))</f>
        <v>No</v>
      </c>
    </row>
    <row r="81" spans="1:11">
      <c r="A81" t="s">
        <v>509</v>
      </c>
      <c r="B81" t="s">
        <v>534</v>
      </c>
      <c r="C81">
        <v>2246</v>
      </c>
      <c r="D81">
        <f>new_212__3[[#This Row],[MBYTES]]/1024</f>
        <v>2.193359375</v>
      </c>
      <c r="E81" s="3" t="s">
        <v>5</v>
      </c>
      <c r="K81" t="str" cm="1">
        <f t="array" ref="K81">IF(_xlfn.XLOOKUP(TRIM(A81),TRIM('Espai x esquema'!$A:$A),'Espai x esquema'!$E:$E,"",0)="Sí, però",
   "Sí",
   _xlfn.XLOOKUP(TRIM(A81),TRIM('Espai x esquema'!$A:$A),'Espai x esquema'!$E:$E,"",0))</f>
        <v>??</v>
      </c>
    </row>
    <row r="82" spans="1:11">
      <c r="A82" t="s">
        <v>535</v>
      </c>
      <c r="B82" t="s">
        <v>536</v>
      </c>
      <c r="C82">
        <v>2218</v>
      </c>
      <c r="D82">
        <f>new_212__3[[#This Row],[MBYTES]]/1024</f>
        <v>2.166015625</v>
      </c>
      <c r="E82" s="3" t="s">
        <v>6</v>
      </c>
      <c r="F82" t="s">
        <v>84</v>
      </c>
      <c r="H82" t="s">
        <v>426</v>
      </c>
      <c r="K82" t="str" cm="1">
        <f t="array" ref="K82">IF(_xlfn.XLOOKUP(TRIM(A82),TRIM('Espai x esquema'!$A:$A),'Espai x esquema'!$E:$E,"",0)="Sí, però",
   "Sí",
   _xlfn.XLOOKUP(TRIM(A82),TRIM('Espai x esquema'!$A:$A),'Espai x esquema'!$E:$E,"",0))</f>
        <v>No</v>
      </c>
    </row>
    <row r="83" spans="1:11">
      <c r="A83" t="s">
        <v>445</v>
      </c>
      <c r="B83" t="s">
        <v>537</v>
      </c>
      <c r="C83">
        <v>2175</v>
      </c>
      <c r="D83">
        <f>new_212__3[[#This Row],[MBYTES]]/1024</f>
        <v>2.1240234375</v>
      </c>
      <c r="E83" s="3" t="s">
        <v>6</v>
      </c>
      <c r="F83" t="s">
        <v>84</v>
      </c>
      <c r="H83" t="s">
        <v>440</v>
      </c>
      <c r="K83" t="str" cm="1">
        <f t="array" ref="K83">IF(_xlfn.XLOOKUP(TRIM(A83),TRIM('Espai x esquema'!$A:$A),'Espai x esquema'!$E:$E,"",0)="Sí, però",
   "Sí",
   _xlfn.XLOOKUP(TRIM(A83),TRIM('Espai x esquema'!$A:$A),'Espai x esquema'!$E:$E,"",0))</f>
        <v>No</v>
      </c>
    </row>
    <row r="84" spans="1:11">
      <c r="A84" t="s">
        <v>538</v>
      </c>
      <c r="B84" t="s">
        <v>539</v>
      </c>
      <c r="C84">
        <v>2096</v>
      </c>
      <c r="D84">
        <v>2.046875</v>
      </c>
      <c r="E84" s="3" t="s">
        <v>6</v>
      </c>
      <c r="F84" t="s">
        <v>116</v>
      </c>
      <c r="G84" t="s">
        <v>422</v>
      </c>
      <c r="K84" t="str" cm="1">
        <f t="array" ref="K84">IF(_xlfn.XLOOKUP(TRIM(A84),TRIM('Espai x esquema'!$A:$A),'Espai x esquema'!$E:$E,"",0)="Sí, però",
   "Sí",
   _xlfn.XLOOKUP(TRIM(A84),TRIM('Espai x esquema'!$A:$A),'Espai x esquema'!$E:$E,"",0))</f>
        <v>No</v>
      </c>
    </row>
    <row r="85" spans="1:11">
      <c r="A85" t="s">
        <v>540</v>
      </c>
      <c r="B85" t="s">
        <v>541</v>
      </c>
      <c r="C85">
        <v>1984</v>
      </c>
      <c r="D85">
        <v>1.9375</v>
      </c>
      <c r="E85" s="3" t="s">
        <v>6</v>
      </c>
      <c r="F85" t="s">
        <v>116</v>
      </c>
      <c r="G85" t="s">
        <v>422</v>
      </c>
      <c r="K85" t="str" cm="1">
        <f t="array" ref="K85">IF(_xlfn.XLOOKUP(TRIM(A85),TRIM('Espai x esquema'!$A:$A),'Espai x esquema'!$E:$E,"",0)="Sí, però",
   "Sí",
   _xlfn.XLOOKUP(TRIM(A85),TRIM('Espai x esquema'!$A:$A),'Espai x esquema'!$E:$E,"",0))</f>
        <v>Sí</v>
      </c>
    </row>
    <row r="86" spans="1:11">
      <c r="A86" t="s">
        <v>485</v>
      </c>
      <c r="B86" t="s">
        <v>542</v>
      </c>
      <c r="C86">
        <v>1951</v>
      </c>
      <c r="D86">
        <f>new_212__3[[#This Row],[MBYTES]]/1024</f>
        <v>1.9052734375</v>
      </c>
      <c r="E86" s="3" t="s">
        <v>6</v>
      </c>
      <c r="F86" t="s">
        <v>84</v>
      </c>
      <c r="K86" t="str" cm="1">
        <f t="array" ref="K86">IF(_xlfn.XLOOKUP(TRIM(A86),TRIM('Espai x esquema'!$A:$A),'Espai x esquema'!$E:$E,"",0)="Sí, però",
   "Sí",
   _xlfn.XLOOKUP(TRIM(A86),TRIM('Espai x esquema'!$A:$A),'Espai x esquema'!$E:$E,"",0))</f>
        <v>No</v>
      </c>
    </row>
    <row r="87" spans="1:11">
      <c r="A87" t="s">
        <v>436</v>
      </c>
      <c r="B87" t="s">
        <v>543</v>
      </c>
      <c r="C87">
        <v>1923</v>
      </c>
      <c r="D87">
        <v>1.877929688</v>
      </c>
      <c r="E87" s="3" t="s">
        <v>6</v>
      </c>
      <c r="F87" t="s">
        <v>116</v>
      </c>
      <c r="G87" t="s">
        <v>422</v>
      </c>
      <c r="H87" t="s">
        <v>504</v>
      </c>
      <c r="K87" t="str" cm="1">
        <f t="array" ref="K87">IF(_xlfn.XLOOKUP(TRIM(A87),TRIM('Espai x esquema'!$A:$A),'Espai x esquema'!$E:$E,"",0)="Sí, però",
   "Sí",
   _xlfn.XLOOKUP(TRIM(A87),TRIM('Espai x esquema'!$A:$A),'Espai x esquema'!$E:$E,"",0))</f>
        <v>No</v>
      </c>
    </row>
    <row r="88" spans="1:11">
      <c r="A88" t="s">
        <v>17</v>
      </c>
      <c r="B88" t="s">
        <v>544</v>
      </c>
      <c r="C88">
        <v>1921</v>
      </c>
      <c r="D88">
        <f>new_212__3[[#This Row],[MBYTES]]/1024</f>
        <v>1.8759765625</v>
      </c>
      <c r="E88" s="3" t="s">
        <v>8</v>
      </c>
      <c r="F88" t="s">
        <v>84</v>
      </c>
      <c r="H88" t="s">
        <v>520</v>
      </c>
      <c r="J88" t="s">
        <v>45</v>
      </c>
      <c r="K88" t="str" cm="1">
        <f t="array" ref="K88">IF(_xlfn.XLOOKUP(TRIM(A88),TRIM('Espai x esquema'!$A:$A),'Espai x esquema'!$E:$E,"",0)="Sí, però",
   "Sí",
   _xlfn.XLOOKUP(TRIM(A88),TRIM('Espai x esquema'!$A:$A),'Espai x esquema'!$E:$E,"",0))</f>
        <v>??</v>
      </c>
    </row>
    <row r="89" spans="1:11">
      <c r="A89" t="s">
        <v>545</v>
      </c>
      <c r="B89" t="s">
        <v>408</v>
      </c>
      <c r="C89">
        <v>1920</v>
      </c>
      <c r="D89">
        <f>new_212__3[[#This Row],[MBYTES]]/1024</f>
        <v>1.875</v>
      </c>
      <c r="E89" s="3" t="s">
        <v>6</v>
      </c>
      <c r="F89" t="s">
        <v>84</v>
      </c>
      <c r="G89" t="s">
        <v>426</v>
      </c>
      <c r="K89" t="str" cm="1">
        <f t="array" ref="K89">IF(_xlfn.XLOOKUP(TRIM(A89),TRIM('Espai x esquema'!$A:$A),'Espai x esquema'!$E:$E,"",0)="Sí, però",
   "Sí",
   _xlfn.XLOOKUP(TRIM(A89),TRIM('Espai x esquema'!$A:$A),'Espai x esquema'!$E:$E,"",0))</f>
        <v>No</v>
      </c>
    </row>
    <row r="90" spans="1:11">
      <c r="A90" t="s">
        <v>546</v>
      </c>
      <c r="B90" t="s">
        <v>547</v>
      </c>
      <c r="C90">
        <v>1920</v>
      </c>
      <c r="D90">
        <f>new_212__3[[#This Row],[MBYTES]]/1024</f>
        <v>1.875</v>
      </c>
      <c r="E90" s="3" t="s">
        <v>6</v>
      </c>
      <c r="F90" t="s">
        <v>84</v>
      </c>
      <c r="G90" t="s">
        <v>474</v>
      </c>
      <c r="K90" t="str" cm="1">
        <f t="array" ref="K90">IF(_xlfn.XLOOKUP(TRIM(A90),TRIM('Espai x esquema'!$A:$A),'Espai x esquema'!$E:$E,"",0)="Sí, però",
   "Sí",
   _xlfn.XLOOKUP(TRIM(A90),TRIM('Espai x esquema'!$A:$A),'Espai x esquema'!$E:$E,"",0))</f>
        <v>No</v>
      </c>
    </row>
    <row r="91" spans="1:11">
      <c r="A91" t="s">
        <v>548</v>
      </c>
      <c r="B91" t="s">
        <v>549</v>
      </c>
      <c r="C91">
        <v>1856</v>
      </c>
      <c r="D91">
        <f>new_212__3[[#This Row],[MBYTES]]/1024</f>
        <v>1.8125</v>
      </c>
      <c r="E91" s="3" t="s">
        <v>6</v>
      </c>
      <c r="F91" t="s">
        <v>84</v>
      </c>
      <c r="G91" t="s">
        <v>550</v>
      </c>
      <c r="K91" t="str" cm="1">
        <f t="array" ref="K91">IF(_xlfn.XLOOKUP(TRIM(A91),TRIM('Espai x esquema'!$A:$A),'Espai x esquema'!$E:$E,"",0)="Sí, però",
   "Sí",
   _xlfn.XLOOKUP(TRIM(A91),TRIM('Espai x esquema'!$A:$A),'Espai x esquema'!$E:$E,"",0))</f>
        <v>No</v>
      </c>
    </row>
    <row r="92" spans="1:11">
      <c r="A92" t="s">
        <v>489</v>
      </c>
      <c r="B92" t="s">
        <v>551</v>
      </c>
      <c r="C92">
        <v>1796</v>
      </c>
      <c r="D92">
        <v>1.75390625</v>
      </c>
      <c r="E92" s="3" t="s">
        <v>6</v>
      </c>
      <c r="F92" t="s">
        <v>116</v>
      </c>
      <c r="G92" t="s">
        <v>422</v>
      </c>
      <c r="K92" t="str" cm="1">
        <f t="array" ref="K92">IF(_xlfn.XLOOKUP(TRIM(A92),TRIM('Espai x esquema'!$A:$A),'Espai x esquema'!$E:$E,"",0)="Sí, però",
   "Sí",
   _xlfn.XLOOKUP(TRIM(A92),TRIM('Espai x esquema'!$A:$A),'Espai x esquema'!$E:$E,"",0))</f>
        <v>No</v>
      </c>
    </row>
    <row r="93" spans="1:11">
      <c r="A93" t="s">
        <v>475</v>
      </c>
      <c r="B93" t="s">
        <v>552</v>
      </c>
      <c r="C93">
        <v>1734</v>
      </c>
      <c r="D93">
        <v>1.693359375</v>
      </c>
      <c r="E93" s="3" t="s">
        <v>6</v>
      </c>
      <c r="F93" t="s">
        <v>116</v>
      </c>
      <c r="G93" t="s">
        <v>422</v>
      </c>
      <c r="K93" t="str" cm="1">
        <f t="array" ref="K93">IF(_xlfn.XLOOKUP(TRIM(A93),TRIM('Espai x esquema'!$A:$A),'Espai x esquema'!$E:$E,"",0)="Sí, però",
   "Sí",
   _xlfn.XLOOKUP(TRIM(A93),TRIM('Espai x esquema'!$A:$A),'Espai x esquema'!$E:$E,"",0))</f>
        <v>No</v>
      </c>
    </row>
    <row r="94" spans="1:11">
      <c r="A94" t="s">
        <v>30</v>
      </c>
      <c r="B94" t="s">
        <v>553</v>
      </c>
      <c r="C94">
        <v>1729</v>
      </c>
      <c r="D94">
        <f>new_212__3[[#This Row],[MBYTES]]/1024</f>
        <v>1.6884765625</v>
      </c>
      <c r="E94" s="3" t="s">
        <v>6</v>
      </c>
      <c r="F94" t="s">
        <v>84</v>
      </c>
      <c r="H94" t="s">
        <v>440</v>
      </c>
      <c r="K94" t="str" cm="1">
        <f t="array" ref="K94">IF(_xlfn.XLOOKUP(TRIM(A94),TRIM('Espai x esquema'!$A:$A),'Espai x esquema'!$E:$E,"",0)="Sí, però",
   "Sí",
   _xlfn.XLOOKUP(TRIM(A94),TRIM('Espai x esquema'!$A:$A),'Espai x esquema'!$E:$E,"",0))</f>
        <v>No</v>
      </c>
    </row>
    <row r="95" spans="1:11">
      <c r="A95" t="s">
        <v>495</v>
      </c>
      <c r="B95" t="s">
        <v>554</v>
      </c>
      <c r="C95">
        <v>1600</v>
      </c>
      <c r="D95">
        <v>1.5625</v>
      </c>
      <c r="E95" s="3" t="s">
        <v>6</v>
      </c>
      <c r="F95" t="s">
        <v>116</v>
      </c>
      <c r="G95" t="s">
        <v>422</v>
      </c>
      <c r="K95" t="str" cm="1">
        <f t="array" ref="K95">IF(_xlfn.XLOOKUP(TRIM(A95),TRIM('Espai x esquema'!$A:$A),'Espai x esquema'!$E:$E,"",0)="Sí, però",
   "Sí",
   _xlfn.XLOOKUP(TRIM(A95),TRIM('Espai x esquema'!$A:$A),'Espai x esquema'!$E:$E,"",0))</f>
        <v>No</v>
      </c>
    </row>
    <row r="96" spans="1:11">
      <c r="A96" t="s">
        <v>458</v>
      </c>
      <c r="B96" t="s">
        <v>555</v>
      </c>
      <c r="C96">
        <v>1600</v>
      </c>
      <c r="D96">
        <f>new_212__3[[#This Row],[MBYTES]]/1024</f>
        <v>1.5625</v>
      </c>
      <c r="E96" s="3" t="s">
        <v>6</v>
      </c>
      <c r="F96" t="s">
        <v>84</v>
      </c>
      <c r="G96" t="s">
        <v>474</v>
      </c>
      <c r="K96" t="str" cm="1">
        <f t="array" ref="K96">IF(_xlfn.XLOOKUP(TRIM(A96),TRIM('Espai x esquema'!$A:$A),'Espai x esquema'!$E:$E,"",0)="Sí, però",
   "Sí",
   _xlfn.XLOOKUP(TRIM(A96),TRIM('Espai x esquema'!$A:$A),'Espai x esquema'!$E:$E,"",0))</f>
        <v>Sí</v>
      </c>
    </row>
    <row r="97" spans="1:11">
      <c r="A97" t="s">
        <v>48</v>
      </c>
      <c r="B97" t="s">
        <v>556</v>
      </c>
      <c r="C97">
        <v>1571</v>
      </c>
      <c r="D97">
        <f>new_212__3[[#This Row],[MBYTES]]/1024</f>
        <v>1.5341796875</v>
      </c>
      <c r="E97" s="3" t="s">
        <v>8</v>
      </c>
      <c r="F97" t="s">
        <v>101</v>
      </c>
      <c r="G97" s="4" t="s">
        <v>448</v>
      </c>
      <c r="H97" t="s">
        <v>449</v>
      </c>
      <c r="I97" t="s">
        <v>450</v>
      </c>
      <c r="J97" t="s">
        <v>45</v>
      </c>
      <c r="K97" t="str" cm="1">
        <f t="array" ref="K97">IF(_xlfn.XLOOKUP(TRIM(A97),TRIM('Espai x esquema'!$A:$A),'Espai x esquema'!$E:$E,"",0)="Sí, però",
   "Sí",
   _xlfn.XLOOKUP(TRIM(A97),TRIM('Espai x esquema'!$A:$A),'Espai x esquema'!$E:$E,"",0))</f>
        <v>No</v>
      </c>
    </row>
    <row r="98" spans="1:11">
      <c r="A98" t="s">
        <v>557</v>
      </c>
      <c r="B98" t="s">
        <v>558</v>
      </c>
      <c r="C98">
        <v>1560</v>
      </c>
      <c r="D98">
        <v>1.5234375</v>
      </c>
      <c r="E98" s="3" t="s">
        <v>6</v>
      </c>
      <c r="F98" t="s">
        <v>116</v>
      </c>
      <c r="G98" t="s">
        <v>422</v>
      </c>
      <c r="K98" t="str" cm="1">
        <f t="array" ref="K98">IF(_xlfn.XLOOKUP(TRIM(A98),TRIM('Espai x esquema'!$A:$A),'Espai x esquema'!$E:$E,"",0)="Sí, però",
   "Sí",
   _xlfn.XLOOKUP(TRIM(A98),TRIM('Espai x esquema'!$A:$A),'Espai x esquema'!$E:$E,"",0))</f>
        <v>No</v>
      </c>
    </row>
    <row r="99" spans="1:11">
      <c r="A99" t="s">
        <v>436</v>
      </c>
      <c r="B99" t="s">
        <v>559</v>
      </c>
      <c r="C99">
        <v>1558</v>
      </c>
      <c r="D99">
        <v>1.521484375</v>
      </c>
      <c r="E99" s="3" t="s">
        <v>6</v>
      </c>
      <c r="F99" t="s">
        <v>116</v>
      </c>
      <c r="G99" t="s">
        <v>422</v>
      </c>
      <c r="K99" t="str" cm="1">
        <f t="array" ref="K99">IF(_xlfn.XLOOKUP(TRIM(A99),TRIM('Espai x esquema'!$A:$A),'Espai x esquema'!$E:$E,"",0)="Sí, però",
   "Sí",
   _xlfn.XLOOKUP(TRIM(A99),TRIM('Espai x esquema'!$A:$A),'Espai x esquema'!$E:$E,"",0))</f>
        <v>No</v>
      </c>
    </row>
    <row r="100" spans="1:11">
      <c r="A100" t="s">
        <v>560</v>
      </c>
      <c r="B100" t="s">
        <v>561</v>
      </c>
      <c r="C100">
        <v>1536</v>
      </c>
      <c r="D100">
        <v>1.5</v>
      </c>
      <c r="E100" s="3" t="s">
        <v>6</v>
      </c>
      <c r="F100" t="s">
        <v>116</v>
      </c>
      <c r="G100" t="s">
        <v>422</v>
      </c>
      <c r="K100" t="str" cm="1">
        <f t="array" ref="K100">IF(_xlfn.XLOOKUP(TRIM(A100),TRIM('Espai x esquema'!$A:$A),'Espai x esquema'!$E:$E,"",0)="Sí, però",
   "Sí",
   _xlfn.XLOOKUP(TRIM(A100),TRIM('Espai x esquema'!$A:$A),'Espai x esquema'!$E:$E,"",0))</f>
        <v>No</v>
      </c>
    </row>
    <row r="101" spans="1:11">
      <c r="A101" t="s">
        <v>420</v>
      </c>
      <c r="B101" t="s">
        <v>562</v>
      </c>
      <c r="C101">
        <v>1525</v>
      </c>
      <c r="D101">
        <v>1.489257813</v>
      </c>
      <c r="E101" s="3" t="s">
        <v>6</v>
      </c>
      <c r="F101" t="s">
        <v>116</v>
      </c>
      <c r="G101" t="s">
        <v>422</v>
      </c>
      <c r="K101" t="str" cm="1">
        <f t="array" ref="K101">IF(_xlfn.XLOOKUP(TRIM(A101),TRIM('Espai x esquema'!$A:$A),'Espai x esquema'!$E:$E,"",0)="Sí, però",
   "Sí",
   _xlfn.XLOOKUP(TRIM(A101),TRIM('Espai x esquema'!$A:$A),'Espai x esquema'!$E:$E,"",0))</f>
        <v>No</v>
      </c>
    </row>
    <row r="102" spans="1:11">
      <c r="A102" t="s">
        <v>548</v>
      </c>
      <c r="B102" t="s">
        <v>563</v>
      </c>
      <c r="C102">
        <v>1472</v>
      </c>
      <c r="D102">
        <f>new_212__3[[#This Row],[MBYTES]]/1024</f>
        <v>1.4375</v>
      </c>
      <c r="E102" s="3" t="s">
        <v>6</v>
      </c>
      <c r="F102" t="s">
        <v>84</v>
      </c>
      <c r="G102" t="s">
        <v>550</v>
      </c>
      <c r="K102" t="str" cm="1">
        <f t="array" ref="K102">IF(_xlfn.XLOOKUP(TRIM(A102),TRIM('Espai x esquema'!$A:$A),'Espai x esquema'!$E:$E,"",0)="Sí, però",
   "Sí",
   _xlfn.XLOOKUP(TRIM(A102),TRIM('Espai x esquema'!$A:$A),'Espai x esquema'!$E:$E,"",0))</f>
        <v>No</v>
      </c>
    </row>
    <row r="103" spans="1:11">
      <c r="A103" t="s">
        <v>26</v>
      </c>
      <c r="B103" t="s">
        <v>564</v>
      </c>
      <c r="C103">
        <v>1472</v>
      </c>
      <c r="D103">
        <f>new_212__3[[#This Row],[MBYTES]]/1024</f>
        <v>1.4375</v>
      </c>
      <c r="E103" s="3" t="s">
        <v>6</v>
      </c>
      <c r="F103" t="s">
        <v>84</v>
      </c>
      <c r="G103" t="s">
        <v>428</v>
      </c>
      <c r="K103" t="str" cm="1">
        <f t="array" ref="K103">IF(_xlfn.XLOOKUP(TRIM(A103),TRIM('Espai x esquema'!$A:$A),'Espai x esquema'!$E:$E,"",0)="Sí, però",
   "Sí",
   _xlfn.XLOOKUP(TRIM(A103),TRIM('Espai x esquema'!$A:$A),'Espai x esquema'!$E:$E,"",0))</f>
        <v>No</v>
      </c>
    </row>
    <row r="104" spans="1:11">
      <c r="A104" t="s">
        <v>565</v>
      </c>
      <c r="B104" t="s">
        <v>566</v>
      </c>
      <c r="C104">
        <v>1472</v>
      </c>
      <c r="D104">
        <f>new_212__3[[#This Row],[MBYTES]]/1024</f>
        <v>1.4375</v>
      </c>
      <c r="E104" s="3" t="s">
        <v>5</v>
      </c>
      <c r="I104" t="s">
        <v>189</v>
      </c>
      <c r="J104" t="s">
        <v>15</v>
      </c>
      <c r="K104" t="str" cm="1">
        <f t="array" ref="K104">IF(_xlfn.XLOOKUP(TRIM(A104),TRIM('Espai x esquema'!$A:$A),'Espai x esquema'!$E:$E,"",0)="Sí, però",
   "Sí",
   _xlfn.XLOOKUP(TRIM(A104),TRIM('Espai x esquema'!$A:$A),'Espai x esquema'!$E:$E,"",0))</f>
        <v>No</v>
      </c>
    </row>
    <row r="105" spans="1:11">
      <c r="A105" t="s">
        <v>32</v>
      </c>
      <c r="B105" t="s">
        <v>567</v>
      </c>
      <c r="C105">
        <v>1408</v>
      </c>
      <c r="D105">
        <f>new_212__3[[#This Row],[MBYTES]]/1024</f>
        <v>1.375</v>
      </c>
      <c r="E105" s="3" t="s">
        <v>6</v>
      </c>
      <c r="F105" t="s">
        <v>84</v>
      </c>
      <c r="G105" t="s">
        <v>428</v>
      </c>
      <c r="K105" t="str" cm="1">
        <f t="array" ref="K105">IF(_xlfn.XLOOKUP(TRIM(A105),TRIM('Espai x esquema'!$A:$A),'Espai x esquema'!$E:$E,"",0)="Sí, però",
   "Sí",
   _xlfn.XLOOKUP(TRIM(A105),TRIM('Espai x esquema'!$A:$A),'Espai x esquema'!$E:$E,"",0))</f>
        <v>No</v>
      </c>
    </row>
    <row r="106" spans="1:11">
      <c r="A106" t="s">
        <v>568</v>
      </c>
      <c r="B106" t="s">
        <v>569</v>
      </c>
      <c r="C106">
        <v>1347</v>
      </c>
      <c r="D106">
        <f>new_212__3[[#This Row],[MBYTES]]/1024</f>
        <v>1.3154296875</v>
      </c>
      <c r="E106" s="3" t="s">
        <v>6</v>
      </c>
      <c r="F106" t="s">
        <v>84</v>
      </c>
      <c r="G106" t="s">
        <v>417</v>
      </c>
      <c r="K106" t="str" cm="1">
        <f t="array" ref="K106">IF(_xlfn.XLOOKUP(TRIM(A106),TRIM('Espai x esquema'!$A:$A),'Espai x esquema'!$E:$E,"",0)="Sí, però",
   "Sí",
   _xlfn.XLOOKUP(TRIM(A106),TRIM('Espai x esquema'!$A:$A),'Espai x esquema'!$E:$E,"",0))</f>
        <v>No</v>
      </c>
    </row>
    <row r="107" spans="1:11">
      <c r="A107" t="s">
        <v>48</v>
      </c>
      <c r="B107" t="s">
        <v>570</v>
      </c>
      <c r="C107">
        <v>1344</v>
      </c>
      <c r="D107">
        <f>new_212__3[[#This Row],[MBYTES]]/1024</f>
        <v>1.3125</v>
      </c>
      <c r="E107" s="3" t="s">
        <v>8</v>
      </c>
      <c r="F107" t="s">
        <v>101</v>
      </c>
      <c r="G107" s="4" t="s">
        <v>448</v>
      </c>
      <c r="H107" t="s">
        <v>449</v>
      </c>
      <c r="I107" t="s">
        <v>450</v>
      </c>
      <c r="J107" t="s">
        <v>45</v>
      </c>
      <c r="K107" t="str" cm="1">
        <f t="array" ref="K107">IF(_xlfn.XLOOKUP(TRIM(A107),TRIM('Espai x esquema'!$A:$A),'Espai x esquema'!$E:$E,"",0)="Sí, però",
   "Sí",
   _xlfn.XLOOKUP(TRIM(A107),TRIM('Espai x esquema'!$A:$A),'Espai x esquema'!$E:$E,"",0))</f>
        <v>No</v>
      </c>
    </row>
    <row r="108" spans="1:11">
      <c r="A108" t="s">
        <v>475</v>
      </c>
      <c r="B108" t="s">
        <v>571</v>
      </c>
      <c r="C108">
        <v>1283</v>
      </c>
      <c r="D108">
        <v>1.252929688</v>
      </c>
      <c r="E108" s="3" t="s">
        <v>6</v>
      </c>
      <c r="F108" t="s">
        <v>116</v>
      </c>
      <c r="G108" t="s">
        <v>422</v>
      </c>
      <c r="H108" t="s">
        <v>488</v>
      </c>
      <c r="K108" t="str" cm="1">
        <f t="array" ref="K108">IF(_xlfn.XLOOKUP(TRIM(A108),TRIM('Espai x esquema'!$A:$A),'Espai x esquema'!$E:$E,"",0)="Sí, però",
   "Sí",
   _xlfn.XLOOKUP(TRIM(A108),TRIM('Espai x esquema'!$A:$A),'Espai x esquema'!$E:$E,"",0))</f>
        <v>No</v>
      </c>
    </row>
    <row r="109" spans="1:11">
      <c r="A109" t="s">
        <v>441</v>
      </c>
      <c r="B109" t="s">
        <v>572</v>
      </c>
      <c r="C109">
        <v>1281</v>
      </c>
      <c r="D109">
        <v>1.250976563</v>
      </c>
      <c r="E109" s="3" t="s">
        <v>6</v>
      </c>
      <c r="F109" t="s">
        <v>116</v>
      </c>
      <c r="G109" t="s">
        <v>422</v>
      </c>
      <c r="K109" t="str" cm="1">
        <f t="array" ref="K109">IF(_xlfn.XLOOKUP(TRIM(A109),TRIM('Espai x esquema'!$A:$A),'Espai x esquema'!$E:$E,"",0)="Sí, però",
   "Sí",
   _xlfn.XLOOKUP(TRIM(A109),TRIM('Espai x esquema'!$A:$A),'Espai x esquema'!$E:$E,"",0))</f>
        <v>No</v>
      </c>
    </row>
    <row r="110" spans="1:11">
      <c r="A110" t="s">
        <v>573</v>
      </c>
      <c r="B110" t="s">
        <v>574</v>
      </c>
      <c r="C110">
        <v>1280</v>
      </c>
      <c r="D110">
        <f>new_212__3[[#This Row],[MBYTES]]/1024</f>
        <v>1.25</v>
      </c>
      <c r="E110" s="3" t="s">
        <v>6</v>
      </c>
      <c r="F110" t="s">
        <v>84</v>
      </c>
      <c r="K110" t="str" cm="1">
        <f t="array" ref="K110">IF(_xlfn.XLOOKUP(TRIM(A110),TRIM('Espai x esquema'!$A:$A),'Espai x esquema'!$E:$E,"",0)="Sí, però",
   "Sí",
   _xlfn.XLOOKUP(TRIM(A110),TRIM('Espai x esquema'!$A:$A),'Espai x esquema'!$E:$E,"",0))</f>
        <v>No</v>
      </c>
    </row>
    <row r="111" spans="1:11">
      <c r="A111" t="s">
        <v>30</v>
      </c>
      <c r="B111" t="s">
        <v>575</v>
      </c>
      <c r="C111">
        <v>1280</v>
      </c>
      <c r="D111">
        <f>new_212__3[[#This Row],[MBYTES]]/1024</f>
        <v>1.25</v>
      </c>
      <c r="E111" s="3" t="s">
        <v>6</v>
      </c>
      <c r="F111" t="s">
        <v>84</v>
      </c>
      <c r="H111" t="s">
        <v>440</v>
      </c>
      <c r="K111" t="str" cm="1">
        <f t="array" ref="K111">IF(_xlfn.XLOOKUP(TRIM(A111),TRIM('Espai x esquema'!$A:$A),'Espai x esquema'!$E:$E,"",0)="Sí, però",
   "Sí",
   _xlfn.XLOOKUP(TRIM(A111),TRIM('Espai x esquema'!$A:$A),'Espai x esquema'!$E:$E,"",0))</f>
        <v>No</v>
      </c>
    </row>
    <row r="112" spans="1:11">
      <c r="A112" t="s">
        <v>521</v>
      </c>
      <c r="B112" t="s">
        <v>576</v>
      </c>
      <c r="C112">
        <v>1223</v>
      </c>
      <c r="D112">
        <v>1.194335938</v>
      </c>
      <c r="E112" s="3" t="s">
        <v>6</v>
      </c>
      <c r="F112" t="s">
        <v>116</v>
      </c>
      <c r="G112" t="s">
        <v>422</v>
      </c>
      <c r="H112" t="s">
        <v>577</v>
      </c>
      <c r="K112" t="str" cm="1">
        <f t="array" ref="K112">IF(_xlfn.XLOOKUP(TRIM(A112),TRIM('Espai x esquema'!$A:$A),'Espai x esquema'!$E:$E,"",0)="Sí, però",
   "Sí",
   _xlfn.XLOOKUP(TRIM(A112),TRIM('Espai x esquema'!$A:$A),'Espai x esquema'!$E:$E,"",0))</f>
        <v>No</v>
      </c>
    </row>
    <row r="113" spans="1:11">
      <c r="A113" t="s">
        <v>441</v>
      </c>
      <c r="B113" t="s">
        <v>578</v>
      </c>
      <c r="C113">
        <v>1220</v>
      </c>
      <c r="D113">
        <v>1.19140625</v>
      </c>
      <c r="E113" s="3" t="s">
        <v>6</v>
      </c>
      <c r="F113" t="s">
        <v>116</v>
      </c>
      <c r="G113" t="s">
        <v>422</v>
      </c>
      <c r="K113" t="str" cm="1">
        <f t="array" ref="K113">IF(_xlfn.XLOOKUP(TRIM(A113),TRIM('Espai x esquema'!$A:$A),'Espai x esquema'!$E:$E,"",0)="Sí, però",
   "Sí",
   _xlfn.XLOOKUP(TRIM(A113),TRIM('Espai x esquema'!$A:$A),'Espai x esquema'!$E:$E,"",0))</f>
        <v>No</v>
      </c>
    </row>
    <row r="114" spans="1:11">
      <c r="A114" t="s">
        <v>472</v>
      </c>
      <c r="B114" t="s">
        <v>579</v>
      </c>
      <c r="C114">
        <v>1220</v>
      </c>
      <c r="D114">
        <f>new_212__3[[#This Row],[MBYTES]]/1024</f>
        <v>1.19140625</v>
      </c>
      <c r="E114" s="3" t="s">
        <v>6</v>
      </c>
      <c r="F114" t="s">
        <v>84</v>
      </c>
      <c r="G114" t="s">
        <v>428</v>
      </c>
      <c r="K114" t="str" cm="1">
        <f t="array" ref="K114">IF(_xlfn.XLOOKUP(TRIM(A114),TRIM('Espai x esquema'!$A:$A),'Espai x esquema'!$E:$E,"",0)="Sí, però",
   "Sí",
   _xlfn.XLOOKUP(TRIM(A114),TRIM('Espai x esquema'!$A:$A),'Espai x esquema'!$E:$E,"",0))</f>
        <v>No</v>
      </c>
    </row>
    <row r="115" spans="1:11">
      <c r="A115" t="s">
        <v>441</v>
      </c>
      <c r="B115" t="s">
        <v>580</v>
      </c>
      <c r="C115">
        <v>1219</v>
      </c>
      <c r="D115">
        <v>1.190429688</v>
      </c>
      <c r="E115" s="3" t="s">
        <v>6</v>
      </c>
      <c r="F115" t="s">
        <v>116</v>
      </c>
      <c r="G115" t="s">
        <v>422</v>
      </c>
      <c r="K115" t="str" cm="1">
        <f t="array" ref="K115">IF(_xlfn.XLOOKUP(TRIM(A115),TRIM('Espai x esquema'!$A:$A),'Espai x esquema'!$E:$E,"",0)="Sí, però",
   "Sí",
   _xlfn.XLOOKUP(TRIM(A115),TRIM('Espai x esquema'!$A:$A),'Espai x esquema'!$E:$E,"",0))</f>
        <v>No</v>
      </c>
    </row>
    <row r="116" spans="1:11">
      <c r="A116" t="s">
        <v>568</v>
      </c>
      <c r="B116" t="s">
        <v>408</v>
      </c>
      <c r="C116">
        <v>1216</v>
      </c>
      <c r="D116">
        <f>new_212__3[[#This Row],[MBYTES]]/1024</f>
        <v>1.1875</v>
      </c>
      <c r="E116" s="3" t="s">
        <v>6</v>
      </c>
      <c r="F116" t="s">
        <v>84</v>
      </c>
      <c r="G116" t="s">
        <v>417</v>
      </c>
      <c r="K116" t="str" cm="1">
        <f t="array" ref="K116">IF(_xlfn.XLOOKUP(TRIM(A116),TRIM('Espai x esquema'!$A:$A),'Espai x esquema'!$E:$E,"",0)="Sí, però",
   "Sí",
   _xlfn.XLOOKUP(TRIM(A116),TRIM('Espai x esquema'!$A:$A),'Espai x esquema'!$E:$E,"",0))</f>
        <v>No</v>
      </c>
    </row>
    <row r="117" spans="1:11">
      <c r="A117" t="s">
        <v>26</v>
      </c>
      <c r="B117" t="s">
        <v>581</v>
      </c>
      <c r="C117">
        <v>1216</v>
      </c>
      <c r="D117">
        <f>new_212__3[[#This Row],[MBYTES]]/1024</f>
        <v>1.1875</v>
      </c>
      <c r="E117" s="3" t="s">
        <v>8</v>
      </c>
      <c r="F117" t="s">
        <v>84</v>
      </c>
      <c r="G117" t="s">
        <v>582</v>
      </c>
      <c r="I117" t="s">
        <v>583</v>
      </c>
      <c r="J117" t="s">
        <v>15</v>
      </c>
      <c r="K117" t="str" cm="1">
        <f t="array" ref="K117">IF(_xlfn.XLOOKUP(TRIM(A117),TRIM('Espai x esquema'!$A:$A),'Espai x esquema'!$E:$E,"",0)="Sí, però",
   "Sí",
   _xlfn.XLOOKUP(TRIM(A117),TRIM('Espai x esquema'!$A:$A),'Espai x esquema'!$E:$E,"",0))</f>
        <v>No</v>
      </c>
    </row>
    <row r="118" spans="1:11">
      <c r="A118" t="s">
        <v>22</v>
      </c>
      <c r="B118" t="s">
        <v>584</v>
      </c>
      <c r="C118">
        <v>1206</v>
      </c>
      <c r="D118">
        <f>new_212__3[[#This Row],[MBYTES]]/1024</f>
        <v>1.177734375</v>
      </c>
      <c r="E118" s="3" t="s">
        <v>6</v>
      </c>
      <c r="F118" t="s">
        <v>84</v>
      </c>
      <c r="G118" t="s">
        <v>444</v>
      </c>
      <c r="K118" t="str" cm="1">
        <f t="array" ref="K118">IF(_xlfn.XLOOKUP(TRIM(A118),TRIM('Espai x esquema'!$A:$A),'Espai x esquema'!$E:$E,"",0)="Sí, però",
   "Sí",
   _xlfn.XLOOKUP(TRIM(A118),TRIM('Espai x esquema'!$A:$A),'Espai x esquema'!$E:$E,"",0))</f>
        <v>No</v>
      </c>
    </row>
    <row r="119" spans="1:11">
      <c r="A119" t="s">
        <v>436</v>
      </c>
      <c r="B119" t="s">
        <v>585</v>
      </c>
      <c r="C119">
        <v>1154</v>
      </c>
      <c r="D119">
        <v>1.126953125</v>
      </c>
      <c r="E119" s="3" t="s">
        <v>6</v>
      </c>
      <c r="F119" t="s">
        <v>116</v>
      </c>
      <c r="G119" t="s">
        <v>422</v>
      </c>
      <c r="K119" t="str" cm="1">
        <f t="array" ref="K119">IF(_xlfn.XLOOKUP(TRIM(A119),TRIM('Espai x esquema'!$A:$A),'Espai x esquema'!$E:$E,"",0)="Sí, però",
   "Sí",
   _xlfn.XLOOKUP(TRIM(A119),TRIM('Espai x esquema'!$A:$A),'Espai x esquema'!$E:$E,"",0))</f>
        <v>No</v>
      </c>
    </row>
    <row r="120" spans="1:11">
      <c r="A120" t="s">
        <v>420</v>
      </c>
      <c r="B120" t="s">
        <v>586</v>
      </c>
      <c r="C120">
        <v>1152</v>
      </c>
      <c r="D120">
        <v>1.125</v>
      </c>
      <c r="E120" s="3" t="s">
        <v>6</v>
      </c>
      <c r="F120" t="s">
        <v>116</v>
      </c>
      <c r="G120" t="s">
        <v>422</v>
      </c>
      <c r="K120" t="str" cm="1">
        <f t="array" ref="K120">IF(_xlfn.XLOOKUP(TRIM(A120),TRIM('Espai x esquema'!$A:$A),'Espai x esquema'!$E:$E,"",0)="Sí, però",
   "Sí",
   _xlfn.XLOOKUP(TRIM(A120),TRIM('Espai x esquema'!$A:$A),'Espai x esquema'!$E:$E,"",0))</f>
        <v>No</v>
      </c>
    </row>
    <row r="121" spans="1:11">
      <c r="A121" t="s">
        <v>26</v>
      </c>
      <c r="B121" t="s">
        <v>587</v>
      </c>
      <c r="C121">
        <v>1152</v>
      </c>
      <c r="D121">
        <f>new_212__3[[#This Row],[MBYTES]]/1024</f>
        <v>1.125</v>
      </c>
      <c r="E121" s="3" t="s">
        <v>6</v>
      </c>
      <c r="F121" t="s">
        <v>84</v>
      </c>
      <c r="G121" t="s">
        <v>474</v>
      </c>
      <c r="K121" t="str" cm="1">
        <f t="array" ref="K121">IF(_xlfn.XLOOKUP(TRIM(A121),TRIM('Espai x esquema'!$A:$A),'Espai x esquema'!$E:$E,"",0)="Sí, però",
   "Sí",
   _xlfn.XLOOKUP(TRIM(A121),TRIM('Espai x esquema'!$A:$A),'Espai x esquema'!$E:$E,"",0))</f>
        <v>No</v>
      </c>
    </row>
    <row r="122" spans="1:11">
      <c r="A122" t="s">
        <v>34</v>
      </c>
      <c r="B122" t="s">
        <v>588</v>
      </c>
      <c r="C122">
        <v>1152</v>
      </c>
      <c r="D122">
        <f>new_212__3[[#This Row],[MBYTES]]/1024</f>
        <v>1.125</v>
      </c>
      <c r="E122" s="3" t="s">
        <v>8</v>
      </c>
      <c r="F122" t="s">
        <v>84</v>
      </c>
      <c r="G122" t="s">
        <v>589</v>
      </c>
      <c r="I122" t="s">
        <v>590</v>
      </c>
      <c r="J122" t="s">
        <v>15</v>
      </c>
      <c r="K122" t="str" cm="1">
        <f t="array" ref="K122">IF(_xlfn.XLOOKUP(TRIM(A122),TRIM('Espai x esquema'!$A:$A),'Espai x esquema'!$E:$E,"",0)="Sí, però",
   "Sí",
   _xlfn.XLOOKUP(TRIM(A122),TRIM('Espai x esquema'!$A:$A),'Espai x esquema'!$E:$E,"",0))</f>
        <v>No</v>
      </c>
    </row>
    <row r="123" spans="1:11">
      <c r="A123" t="s">
        <v>26</v>
      </c>
      <c r="B123" t="s">
        <v>591</v>
      </c>
      <c r="C123">
        <v>1015</v>
      </c>
      <c r="D123">
        <f>new_212__3[[#This Row],[MBYTES]]/1024</f>
        <v>0.9912109375</v>
      </c>
      <c r="E123" s="3" t="s">
        <v>6</v>
      </c>
      <c r="F123" t="s">
        <v>84</v>
      </c>
      <c r="G123" t="s">
        <v>428</v>
      </c>
      <c r="K123" t="str" cm="1">
        <f t="array" ref="K123">IF(_xlfn.XLOOKUP(TRIM(A123),TRIM('Espai x esquema'!$A:$A),'Espai x esquema'!$E:$E,"",0)="Sí, però",
   "Sí",
   _xlfn.XLOOKUP(TRIM(A123),TRIM('Espai x esquema'!$A:$A),'Espai x esquema'!$E:$E,"",0))</f>
        <v>No</v>
      </c>
    </row>
    <row r="124" spans="1:11">
      <c r="A124" t="s">
        <v>592</v>
      </c>
      <c r="B124" t="s">
        <v>593</v>
      </c>
      <c r="C124">
        <v>1000</v>
      </c>
      <c r="D124">
        <v>0.9765625</v>
      </c>
      <c r="E124" s="3" t="s">
        <v>6</v>
      </c>
      <c r="F124" t="s">
        <v>116</v>
      </c>
      <c r="G124" t="s">
        <v>422</v>
      </c>
      <c r="H124" t="s">
        <v>594</v>
      </c>
      <c r="K124" t="str" cm="1">
        <f t="array" ref="K124">IF(_xlfn.XLOOKUP(TRIM(A124),TRIM('Espai x esquema'!$A:$A),'Espai x esquema'!$E:$E,"",0)="Sí, però",
   "Sí",
   _xlfn.XLOOKUP(TRIM(A124),TRIM('Espai x esquema'!$A:$A),'Espai x esquema'!$E:$E,"",0))</f>
        <v>No</v>
      </c>
    </row>
    <row r="125" spans="1:11">
      <c r="A125" t="s">
        <v>595</v>
      </c>
      <c r="B125" t="s">
        <v>596</v>
      </c>
      <c r="C125">
        <v>1000</v>
      </c>
      <c r="D125">
        <v>0.9765625</v>
      </c>
      <c r="E125" s="3" t="s">
        <v>6</v>
      </c>
      <c r="F125" t="s">
        <v>116</v>
      </c>
      <c r="G125" t="s">
        <v>422</v>
      </c>
      <c r="K125" t="str" cm="1">
        <f t="array" ref="K125">IF(_xlfn.XLOOKUP(TRIM(A125),TRIM('Espai x esquema'!$A:$A),'Espai x esquema'!$E:$E,"",0)="Sí, però",
   "Sí",
   _xlfn.XLOOKUP(TRIM(A125),TRIM('Espai x esquema'!$A:$A),'Espai x esquema'!$E:$E,"",0))</f>
        <v>No</v>
      </c>
    </row>
    <row r="126" spans="1:11">
      <c r="A126" t="s">
        <v>485</v>
      </c>
      <c r="B126" t="s">
        <v>597</v>
      </c>
      <c r="C126">
        <v>975</v>
      </c>
      <c r="D126">
        <f>new_212__3[[#This Row],[MBYTES]]/1024</f>
        <v>0.9521484375</v>
      </c>
      <c r="E126" s="3" t="s">
        <v>6</v>
      </c>
      <c r="F126" t="s">
        <v>84</v>
      </c>
      <c r="H126" t="s">
        <v>481</v>
      </c>
      <c r="K126" t="str" cm="1">
        <f t="array" ref="K126">IF(_xlfn.XLOOKUP(TRIM(A126),TRIM('Espai x esquema'!$A:$A),'Espai x esquema'!$E:$E,"",0)="Sí, però",
   "Sí",
   _xlfn.XLOOKUP(TRIM(A126),TRIM('Espai x esquema'!$A:$A),'Espai x esquema'!$E:$E,"",0))</f>
        <v>No</v>
      </c>
    </row>
    <row r="127" spans="1:11">
      <c r="A127" t="s">
        <v>420</v>
      </c>
      <c r="B127" t="s">
        <v>598</v>
      </c>
      <c r="C127">
        <v>952</v>
      </c>
      <c r="D127">
        <v>0.9296875</v>
      </c>
      <c r="E127" s="3" t="s">
        <v>6</v>
      </c>
      <c r="F127" t="s">
        <v>116</v>
      </c>
      <c r="G127" t="s">
        <v>422</v>
      </c>
      <c r="K127" t="str" cm="1">
        <f t="array" ref="K127">IF(_xlfn.XLOOKUP(TRIM(A127),TRIM('Espai x esquema'!$A:$A),'Espai x esquema'!$E:$E,"",0)="Sí, però",
   "Sí",
   _xlfn.XLOOKUP(TRIM(A127),TRIM('Espai x esquema'!$A:$A),'Espai x esquema'!$E:$E,"",0))</f>
        <v>No</v>
      </c>
    </row>
    <row r="128" spans="1:11">
      <c r="A128" t="s">
        <v>485</v>
      </c>
      <c r="B128" t="s">
        <v>599</v>
      </c>
      <c r="C128">
        <v>951</v>
      </c>
      <c r="D128">
        <f>new_212__3[[#This Row],[MBYTES]]/1024</f>
        <v>0.9287109375</v>
      </c>
      <c r="E128" s="3" t="s">
        <v>6</v>
      </c>
      <c r="F128" t="s">
        <v>84</v>
      </c>
      <c r="K128" t="str" cm="1">
        <f t="array" ref="K128">IF(_xlfn.XLOOKUP(TRIM(A128),TRIM('Espai x esquema'!$A:$A),'Espai x esquema'!$E:$E,"",0)="Sí, però",
   "Sí",
   _xlfn.XLOOKUP(TRIM(A128),TRIM('Espai x esquema'!$A:$A),'Espai x esquema'!$E:$E,"",0))</f>
        <v>No</v>
      </c>
    </row>
    <row r="129" spans="1:11">
      <c r="A129" t="s">
        <v>521</v>
      </c>
      <c r="B129" t="s">
        <v>600</v>
      </c>
      <c r="C129">
        <v>950</v>
      </c>
      <c r="D129">
        <v>0.927734375</v>
      </c>
      <c r="E129" s="3" t="s">
        <v>6</v>
      </c>
      <c r="F129" t="s">
        <v>116</v>
      </c>
      <c r="G129" t="s">
        <v>422</v>
      </c>
      <c r="K129" t="str" cm="1">
        <f t="array" ref="K129">IF(_xlfn.XLOOKUP(TRIM(A129),TRIM('Espai x esquema'!$A:$A),'Espai x esquema'!$E:$E,"",0)="Sí, però",
   "Sí",
   _xlfn.XLOOKUP(TRIM(A129),TRIM('Espai x esquema'!$A:$A),'Espai x esquema'!$E:$E,"",0))</f>
        <v>No</v>
      </c>
    </row>
    <row r="130" spans="1:11">
      <c r="A130" t="s">
        <v>601</v>
      </c>
      <c r="B130" t="s">
        <v>602</v>
      </c>
      <c r="C130">
        <v>888</v>
      </c>
      <c r="D130">
        <v>0.8671875</v>
      </c>
      <c r="E130" s="3" t="s">
        <v>6</v>
      </c>
      <c r="F130" t="s">
        <v>116</v>
      </c>
      <c r="G130" t="s">
        <v>422</v>
      </c>
      <c r="K130" t="str" cm="1">
        <f t="array" ref="K130">IF(_xlfn.XLOOKUP(TRIM(A130),TRIM('Espai x esquema'!$A:$A),'Espai x esquema'!$E:$E,"",0)="Sí, però",
   "Sí",
   _xlfn.XLOOKUP(TRIM(A130),TRIM('Espai x esquema'!$A:$A),'Espai x esquema'!$E:$E,"",0))</f>
        <v>No</v>
      </c>
    </row>
    <row r="131" spans="1:11">
      <c r="A131" t="s">
        <v>405</v>
      </c>
      <c r="B131" t="s">
        <v>603</v>
      </c>
      <c r="C131">
        <v>880</v>
      </c>
      <c r="D131">
        <f>new_212__3[[#This Row],[MBYTES]]/1024</f>
        <v>0.859375</v>
      </c>
      <c r="E131" s="3" t="s">
        <v>6</v>
      </c>
      <c r="F131" t="s">
        <v>84</v>
      </c>
      <c r="H131" t="s">
        <v>440</v>
      </c>
      <c r="K131" t="str" cm="1">
        <f t="array" ref="K131">IF(_xlfn.XLOOKUP(TRIM(A131),TRIM('Espai x esquema'!$A:$A),'Espai x esquema'!$E:$E,"",0)="Sí, però",
   "Sí",
   _xlfn.XLOOKUP(TRIM(A131),TRIM('Espai x esquema'!$A:$A),'Espai x esquema'!$E:$E,"",0))</f>
        <v>No</v>
      </c>
    </row>
    <row r="132" spans="1:11">
      <c r="A132" t="s">
        <v>485</v>
      </c>
      <c r="B132" t="s">
        <v>604</v>
      </c>
      <c r="C132">
        <v>858</v>
      </c>
      <c r="D132">
        <f>new_212__3[[#This Row],[MBYTES]]/1024</f>
        <v>0.837890625</v>
      </c>
      <c r="E132" s="3" t="s">
        <v>6</v>
      </c>
      <c r="F132" t="s">
        <v>84</v>
      </c>
      <c r="K132" t="str" cm="1">
        <f t="array" ref="K132">IF(_xlfn.XLOOKUP(TRIM(A132),TRIM('Espai x esquema'!$A:$A),'Espai x esquema'!$E:$E,"",0)="Sí, però",
   "Sí",
   _xlfn.XLOOKUP(TRIM(A132),TRIM('Espai x esquema'!$A:$A),'Espai x esquema'!$E:$E,"",0))</f>
        <v>No</v>
      </c>
    </row>
    <row r="133" spans="1:11">
      <c r="A133" t="s">
        <v>48</v>
      </c>
      <c r="B133" t="s">
        <v>605</v>
      </c>
      <c r="C133">
        <v>842</v>
      </c>
      <c r="D133">
        <f>new_212__3[[#This Row],[MBYTES]]/1024</f>
        <v>0.822265625</v>
      </c>
      <c r="E133" s="3" t="s">
        <v>8</v>
      </c>
      <c r="F133" t="s">
        <v>101</v>
      </c>
      <c r="G133" s="4" t="s">
        <v>448</v>
      </c>
      <c r="H133" t="s">
        <v>449</v>
      </c>
      <c r="I133" t="s">
        <v>450</v>
      </c>
      <c r="J133" t="s">
        <v>45</v>
      </c>
      <c r="K133" t="str" cm="1">
        <f t="array" ref="K133">IF(_xlfn.XLOOKUP(TRIM(A133),TRIM('Espai x esquema'!$A:$A),'Espai x esquema'!$E:$E,"",0)="Sí, però",
   "Sí",
   _xlfn.XLOOKUP(TRIM(A133),TRIM('Espai x esquema'!$A:$A),'Espai x esquema'!$E:$E,"",0))</f>
        <v>No</v>
      </c>
    </row>
    <row r="134" spans="1:11">
      <c r="A134" t="s">
        <v>436</v>
      </c>
      <c r="B134" t="s">
        <v>606</v>
      </c>
      <c r="C134">
        <v>810</v>
      </c>
      <c r="D134">
        <v>0.791015625</v>
      </c>
      <c r="E134" s="3" t="s">
        <v>6</v>
      </c>
      <c r="F134" t="s">
        <v>116</v>
      </c>
      <c r="G134" t="s">
        <v>422</v>
      </c>
      <c r="H134" t="s">
        <v>504</v>
      </c>
      <c r="K134" t="str" cm="1">
        <f t="array" ref="K134">IF(_xlfn.XLOOKUP(TRIM(A134),TRIM('Espai x esquema'!$A:$A),'Espai x esquema'!$E:$E,"",0)="Sí, però",
   "Sí",
   _xlfn.XLOOKUP(TRIM(A134),TRIM('Espai x esquema'!$A:$A),'Espai x esquema'!$E:$E,"",0))</f>
        <v>No</v>
      </c>
    </row>
    <row r="135" spans="1:11">
      <c r="A135" t="s">
        <v>17</v>
      </c>
      <c r="B135" t="s">
        <v>607</v>
      </c>
      <c r="C135">
        <v>810</v>
      </c>
      <c r="D135">
        <f>new_212__3[[#This Row],[MBYTES]]/1024</f>
        <v>0.791015625</v>
      </c>
      <c r="E135" s="3" t="s">
        <v>8</v>
      </c>
      <c r="F135" t="s">
        <v>84</v>
      </c>
      <c r="H135" t="s">
        <v>520</v>
      </c>
      <c r="J135" t="s">
        <v>5</v>
      </c>
      <c r="K135" t="str" cm="1">
        <f t="array" ref="K135">IF(_xlfn.XLOOKUP(TRIM(A135),TRIM('Espai x esquema'!$A:$A),'Espai x esquema'!$E:$E,"",0)="Sí, però",
   "Sí",
   _xlfn.XLOOKUP(TRIM(A135),TRIM('Espai x esquema'!$A:$A),'Espai x esquema'!$E:$E,"",0))</f>
        <v>??</v>
      </c>
    </row>
    <row r="136" spans="1:11">
      <c r="A136" t="s">
        <v>32</v>
      </c>
      <c r="B136" t="s">
        <v>608</v>
      </c>
      <c r="C136">
        <v>810</v>
      </c>
      <c r="D136">
        <f>new_212__3[[#This Row],[MBYTES]]/1024</f>
        <v>0.791015625</v>
      </c>
      <c r="E136" s="3" t="s">
        <v>8</v>
      </c>
      <c r="F136" t="s">
        <v>84</v>
      </c>
      <c r="G136" t="s">
        <v>582</v>
      </c>
      <c r="I136" t="s">
        <v>609</v>
      </c>
      <c r="J136" t="s">
        <v>15</v>
      </c>
      <c r="K136" t="str" cm="1">
        <f t="array" ref="K136">IF(_xlfn.XLOOKUP(TRIM(A136),TRIM('Espai x esquema'!$A:$A),'Espai x esquema'!$E:$E,"",0)="Sí, però",
   "Sí",
   _xlfn.XLOOKUP(TRIM(A136),TRIM('Espai x esquema'!$A:$A),'Espai x esquema'!$E:$E,"",0))</f>
        <v>No</v>
      </c>
    </row>
    <row r="137" spans="1:11">
      <c r="A137" t="s">
        <v>32</v>
      </c>
      <c r="B137" t="s">
        <v>610</v>
      </c>
      <c r="C137">
        <v>808</v>
      </c>
      <c r="D137">
        <f>new_212__3[[#This Row],[MBYTES]]/1024</f>
        <v>0.7890625</v>
      </c>
      <c r="E137" s="3" t="s">
        <v>8</v>
      </c>
      <c r="F137" t="s">
        <v>84</v>
      </c>
      <c r="G137" t="s">
        <v>582</v>
      </c>
      <c r="I137" t="s">
        <v>609</v>
      </c>
      <c r="J137" t="s">
        <v>15</v>
      </c>
      <c r="K137" t="str" cm="1">
        <f t="array" ref="K137">IF(_xlfn.XLOOKUP(TRIM(A137),TRIM('Espai x esquema'!$A:$A),'Espai x esquema'!$E:$E,"",0)="Sí, però",
   "Sí",
   _xlfn.XLOOKUP(TRIM(A137),TRIM('Espai x esquema'!$A:$A),'Espai x esquema'!$E:$E,"",0))</f>
        <v>No</v>
      </c>
    </row>
    <row r="138" spans="1:11">
      <c r="A138" t="s">
        <v>32</v>
      </c>
      <c r="B138" t="s">
        <v>611</v>
      </c>
      <c r="C138">
        <v>808</v>
      </c>
      <c r="D138">
        <f>new_212__3[[#This Row],[MBYTES]]/1024</f>
        <v>0.7890625</v>
      </c>
      <c r="E138" s="3" t="s">
        <v>8</v>
      </c>
      <c r="F138" t="s">
        <v>84</v>
      </c>
      <c r="G138" t="s">
        <v>582</v>
      </c>
      <c r="I138" t="s">
        <v>609</v>
      </c>
      <c r="J138" t="s">
        <v>15</v>
      </c>
      <c r="K138" t="str" cm="1">
        <f t="array" ref="K138">IF(_xlfn.XLOOKUP(TRIM(A138),TRIM('Espai x esquema'!$A:$A),'Espai x esquema'!$E:$E,"",0)="Sí, però",
   "Sí",
   _xlfn.XLOOKUP(TRIM(A138),TRIM('Espai x esquema'!$A:$A),'Espai x esquema'!$E:$E,"",0))</f>
        <v>No</v>
      </c>
    </row>
    <row r="139" spans="1:11">
      <c r="A139" t="s">
        <v>32</v>
      </c>
      <c r="B139" t="s">
        <v>612</v>
      </c>
      <c r="C139">
        <v>808</v>
      </c>
      <c r="D139">
        <f>new_212__3[[#This Row],[MBYTES]]/1024</f>
        <v>0.7890625</v>
      </c>
      <c r="E139" s="3" t="s">
        <v>8</v>
      </c>
      <c r="F139" t="s">
        <v>84</v>
      </c>
      <c r="G139" t="s">
        <v>582</v>
      </c>
      <c r="I139" t="s">
        <v>609</v>
      </c>
      <c r="J139" t="s">
        <v>15</v>
      </c>
      <c r="K139" t="str" cm="1">
        <f t="array" ref="K139">IF(_xlfn.XLOOKUP(TRIM(A139),TRIM('Espai x esquema'!$A:$A),'Espai x esquema'!$E:$E,"",0)="Sí, però",
   "Sí",
   _xlfn.XLOOKUP(TRIM(A139),TRIM('Espai x esquema'!$A:$A),'Espai x esquema'!$E:$E,"",0))</f>
        <v>No</v>
      </c>
    </row>
    <row r="140" spans="1:11">
      <c r="A140" t="s">
        <v>54</v>
      </c>
      <c r="B140" t="s">
        <v>508</v>
      </c>
      <c r="C140">
        <v>800</v>
      </c>
      <c r="D140">
        <f>new_212__3[[#This Row],[MBYTES]]/1024</f>
        <v>0.78125</v>
      </c>
      <c r="E140" s="3" t="s">
        <v>8</v>
      </c>
      <c r="F140" t="s">
        <v>84</v>
      </c>
      <c r="G140" t="s">
        <v>613</v>
      </c>
      <c r="H140" t="s">
        <v>614</v>
      </c>
      <c r="I140" t="s">
        <v>367</v>
      </c>
      <c r="J140" t="s">
        <v>50</v>
      </c>
      <c r="K140" t="str" cm="1">
        <f t="array" ref="K140">IF(_xlfn.XLOOKUP(TRIM(A140),TRIM('Espai x esquema'!$A:$A),'Espai x esquema'!$E:$E,"",0)="Sí, però",
   "Sí",
   _xlfn.XLOOKUP(TRIM(A140),TRIM('Espai x esquema'!$A:$A),'Espai x esquema'!$E:$E,"",0))</f>
        <v>Sí</v>
      </c>
    </row>
    <row r="141" spans="1:11">
      <c r="A141" t="s">
        <v>405</v>
      </c>
      <c r="B141" t="s">
        <v>615</v>
      </c>
      <c r="C141">
        <v>768</v>
      </c>
      <c r="D141">
        <f>new_212__3[[#This Row],[MBYTES]]/1024</f>
        <v>0.75</v>
      </c>
      <c r="E141" s="3" t="s">
        <v>6</v>
      </c>
      <c r="F141" t="s">
        <v>84</v>
      </c>
      <c r="H141" t="s">
        <v>440</v>
      </c>
      <c r="K141" t="str" cm="1">
        <f t="array" ref="K141">IF(_xlfn.XLOOKUP(TRIM(A141),TRIM('Espai x esquema'!$A:$A),'Espai x esquema'!$E:$E,"",0)="Sí, però",
   "Sí",
   _xlfn.XLOOKUP(TRIM(A141),TRIM('Espai x esquema'!$A:$A),'Espai x esquema'!$E:$E,"",0))</f>
        <v>No</v>
      </c>
    </row>
    <row r="142" spans="1:11">
      <c r="A142" t="s">
        <v>48</v>
      </c>
      <c r="B142" t="s">
        <v>616</v>
      </c>
      <c r="C142">
        <v>768</v>
      </c>
      <c r="D142">
        <f>new_212__3[[#This Row],[MBYTES]]/1024</f>
        <v>0.75</v>
      </c>
      <c r="E142" s="3" t="s">
        <v>8</v>
      </c>
      <c r="F142" t="s">
        <v>101</v>
      </c>
      <c r="G142" t="s">
        <v>617</v>
      </c>
      <c r="H142" t="s">
        <v>618</v>
      </c>
      <c r="I142" t="s">
        <v>450</v>
      </c>
      <c r="J142" t="s">
        <v>45</v>
      </c>
      <c r="K142" t="str" cm="1">
        <f t="array" ref="K142">IF(_xlfn.XLOOKUP(TRIM(A142),TRIM('Espai x esquema'!$A:$A),'Espai x esquema'!$E:$E,"",0)="Sí, però",
   "Sí",
   _xlfn.XLOOKUP(TRIM(A142),TRIM('Espai x esquema'!$A:$A),'Espai x esquema'!$E:$E,"",0))</f>
        <v>No</v>
      </c>
    </row>
    <row r="143" spans="1:11">
      <c r="A143" t="s">
        <v>441</v>
      </c>
      <c r="B143" t="s">
        <v>619</v>
      </c>
      <c r="C143">
        <v>767</v>
      </c>
      <c r="D143">
        <v>0.74902343800000004</v>
      </c>
      <c r="E143" s="3" t="s">
        <v>6</v>
      </c>
      <c r="F143" t="s">
        <v>116</v>
      </c>
      <c r="G143" t="s">
        <v>422</v>
      </c>
      <c r="K143" t="str" cm="1">
        <f t="array" ref="K143">IF(_xlfn.XLOOKUP(TRIM(A143),TRIM('Espai x esquema'!$A:$A),'Espai x esquema'!$E:$E,"",0)="Sí, però",
   "Sí",
   _xlfn.XLOOKUP(TRIM(A143),TRIM('Espai x esquema'!$A:$A),'Espai x esquema'!$E:$E,"",0))</f>
        <v>No</v>
      </c>
    </row>
    <row r="144" spans="1:11">
      <c r="A144" t="s">
        <v>32</v>
      </c>
      <c r="B144" t="s">
        <v>620</v>
      </c>
      <c r="C144">
        <v>760</v>
      </c>
      <c r="D144">
        <f>new_212__3[[#This Row],[MBYTES]]/1024</f>
        <v>0.7421875</v>
      </c>
      <c r="E144" s="3" t="s">
        <v>8</v>
      </c>
      <c r="F144" t="s">
        <v>84</v>
      </c>
      <c r="G144" t="s">
        <v>582</v>
      </c>
      <c r="I144" t="s">
        <v>609</v>
      </c>
      <c r="J144" t="s">
        <v>15</v>
      </c>
      <c r="K144" t="str" cm="1">
        <f t="array" ref="K144">IF(_xlfn.XLOOKUP(TRIM(A144),TRIM('Espai x esquema'!$A:$A),'Espai x esquema'!$E:$E,"",0)="Sí, però",
   "Sí",
   _xlfn.XLOOKUP(TRIM(A144),TRIM('Espai x esquema'!$A:$A),'Espai x esquema'!$E:$E,"",0))</f>
        <v>No</v>
      </c>
    </row>
    <row r="145" spans="1:11">
      <c r="A145" t="s">
        <v>32</v>
      </c>
      <c r="B145" t="s">
        <v>621</v>
      </c>
      <c r="C145">
        <v>760</v>
      </c>
      <c r="D145">
        <f>new_212__3[[#This Row],[MBYTES]]/1024</f>
        <v>0.7421875</v>
      </c>
      <c r="E145" s="3" t="s">
        <v>8</v>
      </c>
      <c r="F145" t="s">
        <v>84</v>
      </c>
      <c r="G145" t="s">
        <v>582</v>
      </c>
      <c r="I145" t="s">
        <v>609</v>
      </c>
      <c r="J145" t="s">
        <v>15</v>
      </c>
      <c r="K145" t="str" cm="1">
        <f t="array" ref="K145">IF(_xlfn.XLOOKUP(TRIM(A145),TRIM('Espai x esquema'!$A:$A),'Espai x esquema'!$E:$E,"",0)="Sí, però",
   "Sí",
   _xlfn.XLOOKUP(TRIM(A145),TRIM('Espai x esquema'!$A:$A),'Espai x esquema'!$E:$E,"",0))</f>
        <v>No</v>
      </c>
    </row>
    <row r="146" spans="1:11">
      <c r="A146" t="s">
        <v>622</v>
      </c>
      <c r="B146" t="s">
        <v>623</v>
      </c>
      <c r="C146">
        <v>752</v>
      </c>
      <c r="D146">
        <f>new_212__3[[#This Row],[MBYTES]]/1024</f>
        <v>0.734375</v>
      </c>
      <c r="E146" s="3" t="s">
        <v>6</v>
      </c>
      <c r="F146" t="s">
        <v>84</v>
      </c>
      <c r="G146" t="s">
        <v>426</v>
      </c>
      <c r="K146" t="str" cm="1">
        <f t="array" ref="K146">IF(_xlfn.XLOOKUP(TRIM(A146),TRIM('Espai x esquema'!$A:$A),'Espai x esquema'!$E:$E,"",0)="Sí, però",
   "Sí",
   _xlfn.XLOOKUP(TRIM(A146),TRIM('Espai x esquema'!$A:$A),'Espai x esquema'!$E:$E,"",0))</f>
        <v>No</v>
      </c>
    </row>
    <row r="147" spans="1:11">
      <c r="A147" t="s">
        <v>485</v>
      </c>
      <c r="B147" t="s">
        <v>624</v>
      </c>
      <c r="C147">
        <v>745</v>
      </c>
      <c r="D147">
        <f>new_212__3[[#This Row],[MBYTES]]/1024</f>
        <v>0.7275390625</v>
      </c>
      <c r="E147" s="3" t="s">
        <v>6</v>
      </c>
      <c r="F147" t="s">
        <v>84</v>
      </c>
      <c r="K147" t="str" cm="1">
        <f t="array" ref="K147">IF(_xlfn.XLOOKUP(TRIM(A147),TRIM('Espai x esquema'!$A:$A),'Espai x esquema'!$E:$E,"",0)="Sí, però",
   "Sí",
   _xlfn.XLOOKUP(TRIM(A147),TRIM('Espai x esquema'!$A:$A),'Espai x esquema'!$E:$E,"",0))</f>
        <v>No</v>
      </c>
    </row>
    <row r="148" spans="1:11">
      <c r="A148" t="s">
        <v>26</v>
      </c>
      <c r="B148" t="s">
        <v>625</v>
      </c>
      <c r="C148">
        <v>744</v>
      </c>
      <c r="D148">
        <f>new_212__3[[#This Row],[MBYTES]]/1024</f>
        <v>0.7265625</v>
      </c>
      <c r="E148" s="3" t="s">
        <v>6</v>
      </c>
      <c r="F148" t="s">
        <v>84</v>
      </c>
      <c r="G148" t="s">
        <v>428</v>
      </c>
      <c r="K148" t="str" cm="1">
        <f t="array" ref="K148">IF(_xlfn.XLOOKUP(TRIM(A148),TRIM('Espai x esquema'!$A:$A),'Espai x esquema'!$E:$E,"",0)="Sí, però",
   "Sí",
   _xlfn.XLOOKUP(TRIM(A148),TRIM('Espai x esquema'!$A:$A),'Espai x esquema'!$E:$E,"",0))</f>
        <v>No</v>
      </c>
    </row>
    <row r="149" spans="1:11">
      <c r="A149" t="s">
        <v>573</v>
      </c>
      <c r="B149" t="s">
        <v>408</v>
      </c>
      <c r="C149">
        <v>720</v>
      </c>
      <c r="D149">
        <f>new_212__3[[#This Row],[MBYTES]]/1024</f>
        <v>0.703125</v>
      </c>
      <c r="E149" s="3" t="s">
        <v>6</v>
      </c>
      <c r="F149" t="s">
        <v>84</v>
      </c>
      <c r="K149" t="str" cm="1">
        <f t="array" ref="K149">IF(_xlfn.XLOOKUP(TRIM(A149),TRIM('Espai x esquema'!$A:$A),'Espai x esquema'!$E:$E,"",0)="Sí, però",
   "Sí",
   _xlfn.XLOOKUP(TRIM(A149),TRIM('Espai x esquema'!$A:$A),'Espai x esquema'!$E:$E,"",0))</f>
        <v>No</v>
      </c>
    </row>
    <row r="150" spans="1:11">
      <c r="A150" t="s">
        <v>22</v>
      </c>
      <c r="B150" t="s">
        <v>626</v>
      </c>
      <c r="C150">
        <v>720</v>
      </c>
      <c r="D150">
        <f>new_212__3[[#This Row],[MBYTES]]/1024</f>
        <v>0.703125</v>
      </c>
      <c r="E150" s="3" t="s">
        <v>6</v>
      </c>
      <c r="F150" t="s">
        <v>84</v>
      </c>
      <c r="G150" t="s">
        <v>444</v>
      </c>
      <c r="K150" t="str" cm="1">
        <f t="array" ref="K150">IF(_xlfn.XLOOKUP(TRIM(A150),TRIM('Espai x esquema'!$A:$A),'Espai x esquema'!$E:$E,"",0)="Sí, però",
   "Sí",
   _xlfn.XLOOKUP(TRIM(A150),TRIM('Espai x esquema'!$A:$A),'Espai x esquema'!$E:$E,"",0))</f>
        <v>No</v>
      </c>
    </row>
    <row r="151" spans="1:11">
      <c r="A151" t="s">
        <v>500</v>
      </c>
      <c r="B151" t="s">
        <v>627</v>
      </c>
      <c r="C151">
        <v>712</v>
      </c>
      <c r="D151">
        <v>0.6953125</v>
      </c>
      <c r="E151" s="3" t="s">
        <v>6</v>
      </c>
      <c r="F151" t="s">
        <v>116</v>
      </c>
      <c r="G151" t="s">
        <v>422</v>
      </c>
      <c r="K151" t="str" cm="1">
        <f t="array" ref="K151">IF(_xlfn.XLOOKUP(TRIM(A151),TRIM('Espai x esquema'!$A:$A),'Espai x esquema'!$E:$E,"",0)="Sí, però",
   "Sí",
   _xlfn.XLOOKUP(TRIM(A151),TRIM('Espai x esquema'!$A:$A),'Espai x esquema'!$E:$E,"",0))</f>
        <v>No</v>
      </c>
    </row>
    <row r="152" spans="1:11">
      <c r="A152" t="s">
        <v>34</v>
      </c>
      <c r="B152" t="s">
        <v>628</v>
      </c>
      <c r="C152">
        <v>712</v>
      </c>
      <c r="D152">
        <f>new_212__3[[#This Row],[MBYTES]]/1024</f>
        <v>0.6953125</v>
      </c>
      <c r="E152" s="3" t="s">
        <v>8</v>
      </c>
      <c r="F152" t="s">
        <v>84</v>
      </c>
      <c r="G152" t="s">
        <v>589</v>
      </c>
      <c r="I152" t="s">
        <v>590</v>
      </c>
      <c r="J152" t="s">
        <v>15</v>
      </c>
      <c r="K152" t="str" cm="1">
        <f t="array" ref="K152">IF(_xlfn.XLOOKUP(TRIM(A152),TRIM('Espai x esquema'!$A:$A),'Espai x esquema'!$E:$E,"",0)="Sí, però",
   "Sí",
   _xlfn.XLOOKUP(TRIM(A152),TRIM('Espai x esquema'!$A:$A),'Espai x esquema'!$E:$E,"",0))</f>
        <v>No</v>
      </c>
    </row>
    <row r="153" spans="1:11">
      <c r="A153" t="s">
        <v>17</v>
      </c>
      <c r="B153" t="s">
        <v>629</v>
      </c>
      <c r="C153">
        <v>707</v>
      </c>
      <c r="D153">
        <f>new_212__3[[#This Row],[MBYTES]]/1024</f>
        <v>0.6904296875</v>
      </c>
      <c r="E153" s="3" t="s">
        <v>8</v>
      </c>
      <c r="F153" t="s">
        <v>84</v>
      </c>
      <c r="H153" t="s">
        <v>520</v>
      </c>
      <c r="J153" t="s">
        <v>5</v>
      </c>
      <c r="K153" t="str" cm="1">
        <f t="array" ref="K153">IF(_xlfn.XLOOKUP(TRIM(A153),TRIM('Espai x esquema'!$A:$A),'Espai x esquema'!$E:$E,"",0)="Sí, però",
   "Sí",
   _xlfn.XLOOKUP(TRIM(A153),TRIM('Espai x esquema'!$A:$A),'Espai x esquema'!$E:$E,"",0))</f>
        <v>??</v>
      </c>
    </row>
    <row r="154" spans="1:11">
      <c r="A154" t="s">
        <v>516</v>
      </c>
      <c r="B154" t="s">
        <v>630</v>
      </c>
      <c r="C154">
        <v>704</v>
      </c>
      <c r="D154">
        <f>new_212__3[[#This Row],[MBYTES]]/1024</f>
        <v>0.6875</v>
      </c>
      <c r="E154" s="3" t="s">
        <v>6</v>
      </c>
      <c r="F154" t="s">
        <v>84</v>
      </c>
      <c r="G154" t="s">
        <v>428</v>
      </c>
      <c r="K154" t="str" cm="1">
        <f t="array" ref="K154">IF(_xlfn.XLOOKUP(TRIM(A154),TRIM('Espai x esquema'!$A:$A),'Espai x esquema'!$E:$E,"",0)="Sí, però",
   "Sí",
   _xlfn.XLOOKUP(TRIM(A154),TRIM('Espai x esquema'!$A:$A),'Espai x esquema'!$E:$E,"",0))</f>
        <v>No</v>
      </c>
    </row>
    <row r="155" spans="1:11">
      <c r="A155" t="s">
        <v>22</v>
      </c>
      <c r="B155" t="s">
        <v>631</v>
      </c>
      <c r="C155">
        <v>688</v>
      </c>
      <c r="D155">
        <f>new_212__3[[#This Row],[MBYTES]]/1024</f>
        <v>0.671875</v>
      </c>
      <c r="E155" s="3" t="s">
        <v>6</v>
      </c>
      <c r="F155" t="s">
        <v>84</v>
      </c>
      <c r="G155" t="s">
        <v>444</v>
      </c>
      <c r="K155" t="str" cm="1">
        <f t="array" ref="K155">IF(_xlfn.XLOOKUP(TRIM(A155),TRIM('Espai x esquema'!$A:$A),'Espai x esquema'!$E:$E,"",0)="Sí, però",
   "Sí",
   _xlfn.XLOOKUP(TRIM(A155),TRIM('Espai x esquema'!$A:$A),'Espai x esquema'!$E:$E,"",0))</f>
        <v>No</v>
      </c>
    </row>
    <row r="156" spans="1:11">
      <c r="A156" t="s">
        <v>420</v>
      </c>
      <c r="B156" t="s">
        <v>632</v>
      </c>
      <c r="C156">
        <v>658</v>
      </c>
      <c r="D156">
        <v>0.642578125</v>
      </c>
      <c r="E156" s="3" t="s">
        <v>6</v>
      </c>
      <c r="F156" t="s">
        <v>116</v>
      </c>
      <c r="G156" t="s">
        <v>422</v>
      </c>
      <c r="K156" t="str" cm="1">
        <f t="array" ref="K156">IF(_xlfn.XLOOKUP(TRIM(A156),TRIM('Espai x esquema'!$A:$A),'Espai x esquema'!$E:$E,"",0)="Sí, però",
   "Sí",
   _xlfn.XLOOKUP(TRIM(A156),TRIM('Espai x esquema'!$A:$A),'Espai x esquema'!$E:$E,"",0))</f>
        <v>No</v>
      </c>
    </row>
    <row r="157" spans="1:11">
      <c r="A157" t="s">
        <v>538</v>
      </c>
      <c r="B157" t="s">
        <v>633</v>
      </c>
      <c r="C157">
        <v>656</v>
      </c>
      <c r="D157">
        <v>0.640625</v>
      </c>
      <c r="E157" s="3" t="s">
        <v>6</v>
      </c>
      <c r="F157" t="s">
        <v>116</v>
      </c>
      <c r="G157" t="s">
        <v>422</v>
      </c>
      <c r="K157" t="str" cm="1">
        <f t="array" ref="K157">IF(_xlfn.XLOOKUP(TRIM(A157),TRIM('Espai x esquema'!$A:$A),'Espai x esquema'!$E:$E,"",0)="Sí, però",
   "Sí",
   _xlfn.XLOOKUP(TRIM(A157),TRIM('Espai x esquema'!$A:$A),'Espai x esquema'!$E:$E,"",0))</f>
        <v>No</v>
      </c>
    </row>
    <row r="158" spans="1:11">
      <c r="A158" t="s">
        <v>17</v>
      </c>
      <c r="B158" t="s">
        <v>634</v>
      </c>
      <c r="C158">
        <v>648</v>
      </c>
      <c r="D158">
        <f>new_212__3[[#This Row],[MBYTES]]/1024</f>
        <v>0.6328125</v>
      </c>
      <c r="E158" s="3" t="s">
        <v>8</v>
      </c>
      <c r="F158" t="s">
        <v>84</v>
      </c>
      <c r="H158" t="s">
        <v>520</v>
      </c>
      <c r="J158" t="s">
        <v>5</v>
      </c>
      <c r="K158" t="str" cm="1">
        <f t="array" ref="K158">IF(_xlfn.XLOOKUP(TRIM(A158),TRIM('Espai x esquema'!$A:$A),'Espai x esquema'!$E:$E,"",0)="Sí, però",
   "Sí",
   _xlfn.XLOOKUP(TRIM(A158),TRIM('Espai x esquema'!$A:$A),'Espai x esquema'!$E:$E,"",0))</f>
        <v>??</v>
      </c>
    </row>
    <row r="159" spans="1:11">
      <c r="A159" t="s">
        <v>483</v>
      </c>
      <c r="B159" t="s">
        <v>635</v>
      </c>
      <c r="C159">
        <v>648</v>
      </c>
      <c r="D159">
        <f>new_212__3[[#This Row],[MBYTES]]/1024</f>
        <v>0.6328125</v>
      </c>
      <c r="E159" s="3" t="s">
        <v>5</v>
      </c>
      <c r="K159" t="str" cm="1">
        <f t="array" ref="K159">IF(_xlfn.XLOOKUP(TRIM(A159),TRIM('Espai x esquema'!$A:$A),'Espai x esquema'!$E:$E,"",0)="Sí, però",
   "Sí",
   _xlfn.XLOOKUP(TRIM(A159),TRIM('Espai x esquema'!$A:$A),'Espai x esquema'!$E:$E,"",0))</f>
        <v>??</v>
      </c>
    </row>
    <row r="160" spans="1:11">
      <c r="A160" t="s">
        <v>20</v>
      </c>
      <c r="B160" t="s">
        <v>636</v>
      </c>
      <c r="C160">
        <v>640</v>
      </c>
      <c r="D160">
        <f>new_212__3[[#This Row],[MBYTES]]/1024</f>
        <v>0.625</v>
      </c>
      <c r="E160" s="3" t="s">
        <v>5</v>
      </c>
      <c r="F160" t="s">
        <v>84</v>
      </c>
      <c r="H160" t="s">
        <v>440</v>
      </c>
      <c r="I160" t="s">
        <v>637</v>
      </c>
      <c r="J160" t="s">
        <v>15</v>
      </c>
      <c r="K160" t="str" cm="1">
        <f t="array" ref="K160">IF(_xlfn.XLOOKUP(TRIM(A160),TRIM('Espai x esquema'!$A:$A),'Espai x esquema'!$E:$E,"",0)="Sí, però",
   "Sí",
   _xlfn.XLOOKUP(TRIM(A160),TRIM('Espai x esquema'!$A:$A),'Espai x esquema'!$E:$E,"",0))</f>
        <v>No</v>
      </c>
    </row>
    <row r="161" spans="1:11">
      <c r="A161" t="s">
        <v>505</v>
      </c>
      <c r="B161" t="s">
        <v>638</v>
      </c>
      <c r="C161">
        <v>628</v>
      </c>
      <c r="D161">
        <v>0.61328125</v>
      </c>
      <c r="E161" s="3" t="s">
        <v>6</v>
      </c>
      <c r="F161" t="s">
        <v>116</v>
      </c>
      <c r="G161" t="s">
        <v>422</v>
      </c>
      <c r="K161" t="str" cm="1">
        <f t="array" ref="K161">IF(_xlfn.XLOOKUP(TRIM(A161),TRIM('Espai x esquema'!$A:$A),'Espai x esquema'!$E:$E,"",0)="Sí, però",
   "Sí",
   _xlfn.XLOOKUP(TRIM(A161),TRIM('Espai x esquema'!$A:$A),'Espai x esquema'!$E:$E,"",0))</f>
        <v>No</v>
      </c>
    </row>
    <row r="162" spans="1:11">
      <c r="A162" t="s">
        <v>513</v>
      </c>
      <c r="B162" t="s">
        <v>639</v>
      </c>
      <c r="C162">
        <v>624</v>
      </c>
      <c r="D162">
        <v>0.609375</v>
      </c>
      <c r="E162" s="3" t="s">
        <v>6</v>
      </c>
      <c r="F162" t="s">
        <v>116</v>
      </c>
      <c r="G162" t="s">
        <v>422</v>
      </c>
      <c r="K162" t="str" cm="1">
        <f t="array" ref="K162">IF(_xlfn.XLOOKUP(TRIM(A162),TRIM('Espai x esquema'!$A:$A),'Espai x esquema'!$E:$E,"",0)="Sí, però",
   "Sí",
   _xlfn.XLOOKUP(TRIM(A162),TRIM('Espai x esquema'!$A:$A),'Espai x esquema'!$E:$E,"",0))</f>
        <v>No</v>
      </c>
    </row>
    <row r="163" spans="1:11">
      <c r="A163" t="s">
        <v>475</v>
      </c>
      <c r="B163" t="s">
        <v>640</v>
      </c>
      <c r="C163">
        <v>621</v>
      </c>
      <c r="D163">
        <v>0.60644531300000004</v>
      </c>
      <c r="E163" s="3" t="s">
        <v>6</v>
      </c>
      <c r="F163" t="s">
        <v>116</v>
      </c>
      <c r="G163" t="s">
        <v>422</v>
      </c>
      <c r="H163" t="s">
        <v>488</v>
      </c>
      <c r="K163" t="str" cm="1">
        <f t="array" ref="K163">IF(_xlfn.XLOOKUP(TRIM(A163),TRIM('Espai x esquema'!$A:$A),'Espai x esquema'!$E:$E,"",0)="Sí, però",
   "Sí",
   _xlfn.XLOOKUP(TRIM(A163),TRIM('Espai x esquema'!$A:$A),'Espai x esquema'!$E:$E,"",0))</f>
        <v>No</v>
      </c>
    </row>
    <row r="164" spans="1:11">
      <c r="A164" t="s">
        <v>26</v>
      </c>
      <c r="B164" t="s">
        <v>641</v>
      </c>
      <c r="C164">
        <v>608</v>
      </c>
      <c r="D164">
        <f>new_212__3[[#This Row],[MBYTES]]/1024</f>
        <v>0.59375</v>
      </c>
      <c r="E164" s="3" t="s">
        <v>6</v>
      </c>
      <c r="F164" t="s">
        <v>84</v>
      </c>
      <c r="G164" t="s">
        <v>428</v>
      </c>
      <c r="K164" t="str" cm="1">
        <f t="array" ref="K164">IF(_xlfn.XLOOKUP(TRIM(A164),TRIM('Espai x esquema'!$A:$A),'Espai x esquema'!$E:$E,"",0)="Sí, però",
   "Sí",
   _xlfn.XLOOKUP(TRIM(A164),TRIM('Espai x esquema'!$A:$A),'Espai x esquema'!$E:$E,"",0))</f>
        <v>No</v>
      </c>
    </row>
    <row r="165" spans="1:11">
      <c r="A165" t="s">
        <v>548</v>
      </c>
      <c r="B165" t="s">
        <v>642</v>
      </c>
      <c r="C165">
        <v>600</v>
      </c>
      <c r="D165">
        <f>new_212__3[[#This Row],[MBYTES]]/1024</f>
        <v>0.5859375</v>
      </c>
      <c r="E165" s="3" t="s">
        <v>6</v>
      </c>
      <c r="F165" t="s">
        <v>84</v>
      </c>
      <c r="G165" t="s">
        <v>550</v>
      </c>
      <c r="K165" t="str" cm="1">
        <f t="array" ref="K165">IF(_xlfn.XLOOKUP(TRIM(A165),TRIM('Espai x esquema'!$A:$A),'Espai x esquema'!$E:$E,"",0)="Sí, però",
   "Sí",
   _xlfn.XLOOKUP(TRIM(A165),TRIM('Espai x esquema'!$A:$A),'Espai x esquema'!$E:$E,"",0))</f>
        <v>No</v>
      </c>
    </row>
    <row r="166" spans="1:11">
      <c r="A166" t="s">
        <v>436</v>
      </c>
      <c r="B166" t="s">
        <v>643</v>
      </c>
      <c r="C166">
        <v>597</v>
      </c>
      <c r="D166">
        <v>0.58300781300000004</v>
      </c>
      <c r="E166" s="3" t="s">
        <v>6</v>
      </c>
      <c r="F166" t="s">
        <v>116</v>
      </c>
      <c r="G166" t="s">
        <v>422</v>
      </c>
      <c r="H166" t="s">
        <v>504</v>
      </c>
      <c r="K166" t="str" cm="1">
        <f t="array" ref="K166">IF(_xlfn.XLOOKUP(TRIM(A166),TRIM('Espai x esquema'!$A:$A),'Espai x esquema'!$E:$E,"",0)="Sí, però",
   "Sí",
   _xlfn.XLOOKUP(TRIM(A166),TRIM('Espai x esquema'!$A:$A),'Espai x esquema'!$E:$E,"",0))</f>
        <v>No</v>
      </c>
    </row>
    <row r="167" spans="1:11">
      <c r="A167" t="s">
        <v>22</v>
      </c>
      <c r="B167" t="s">
        <v>644</v>
      </c>
      <c r="C167">
        <v>584</v>
      </c>
      <c r="D167">
        <f>new_212__3[[#This Row],[MBYTES]]/1024</f>
        <v>0.5703125</v>
      </c>
      <c r="E167" s="3" t="s">
        <v>8</v>
      </c>
      <c r="F167" t="s">
        <v>84</v>
      </c>
      <c r="G167" t="s">
        <v>464</v>
      </c>
      <c r="I167" t="s">
        <v>465</v>
      </c>
      <c r="J167" t="s">
        <v>15</v>
      </c>
      <c r="K167" t="str" cm="1">
        <f t="array" ref="K167">IF(_xlfn.XLOOKUP(TRIM(A167),TRIM('Espai x esquema'!$A:$A),'Espai x esquema'!$E:$E,"",0)="Sí, però",
   "Sí",
   _xlfn.XLOOKUP(TRIM(A167),TRIM('Espai x esquema'!$A:$A),'Espai x esquema'!$E:$E,"",0))</f>
        <v>No</v>
      </c>
    </row>
    <row r="168" spans="1:11">
      <c r="A168" t="s">
        <v>438</v>
      </c>
      <c r="B168" t="s">
        <v>645</v>
      </c>
      <c r="C168">
        <v>584</v>
      </c>
      <c r="D168">
        <f>new_212__3[[#This Row],[MBYTES]]/1024</f>
        <v>0.5703125</v>
      </c>
      <c r="E168" s="3" t="s">
        <v>6</v>
      </c>
      <c r="F168" t="s">
        <v>84</v>
      </c>
      <c r="H168" t="s">
        <v>440</v>
      </c>
      <c r="K168" t="str" cm="1">
        <f t="array" ref="K168">IF(_xlfn.XLOOKUP(TRIM(A168),TRIM('Espai x esquema'!$A:$A),'Espai x esquema'!$E:$E,"",0)="Sí, però",
   "Sí",
   _xlfn.XLOOKUP(TRIM(A168),TRIM('Espai x esquema'!$A:$A),'Espai x esquema'!$E:$E,"",0))</f>
        <v>No</v>
      </c>
    </row>
    <row r="169" spans="1:11">
      <c r="A169" t="s">
        <v>568</v>
      </c>
      <c r="B169" t="s">
        <v>646</v>
      </c>
      <c r="C169">
        <v>584</v>
      </c>
      <c r="D169">
        <f>new_212__3[[#This Row],[MBYTES]]/1024</f>
        <v>0.5703125</v>
      </c>
      <c r="E169" s="3" t="s">
        <v>6</v>
      </c>
      <c r="F169" t="s">
        <v>84</v>
      </c>
      <c r="G169" t="s">
        <v>417</v>
      </c>
      <c r="K169" t="str" cm="1">
        <f t="array" ref="K169">IF(_xlfn.XLOOKUP(TRIM(A169),TRIM('Espai x esquema'!$A:$A),'Espai x esquema'!$E:$E,"",0)="Sí, però",
   "Sí",
   _xlfn.XLOOKUP(TRIM(A169),TRIM('Espai x esquema'!$A:$A),'Espai x esquema'!$E:$E,"",0))</f>
        <v>No</v>
      </c>
    </row>
    <row r="170" spans="1:11">
      <c r="A170" t="s">
        <v>568</v>
      </c>
      <c r="B170" t="s">
        <v>647</v>
      </c>
      <c r="C170">
        <v>584</v>
      </c>
      <c r="D170">
        <f>new_212__3[[#This Row],[MBYTES]]/1024</f>
        <v>0.5703125</v>
      </c>
      <c r="E170" s="3" t="s">
        <v>6</v>
      </c>
      <c r="F170" t="s">
        <v>84</v>
      </c>
      <c r="G170" t="s">
        <v>417</v>
      </c>
      <c r="K170" t="str" cm="1">
        <f t="array" ref="K170">IF(_xlfn.XLOOKUP(TRIM(A170),TRIM('Espai x esquema'!$A:$A),'Espai x esquema'!$E:$E,"",0)="Sí, però",
   "Sí",
   _xlfn.XLOOKUP(TRIM(A170),TRIM('Espai x esquema'!$A:$A),'Espai x esquema'!$E:$E,"",0))</f>
        <v>No</v>
      </c>
    </row>
    <row r="171" spans="1:11">
      <c r="A171" t="s">
        <v>548</v>
      </c>
      <c r="B171" t="s">
        <v>648</v>
      </c>
      <c r="C171">
        <v>584</v>
      </c>
      <c r="D171">
        <f>new_212__3[[#This Row],[MBYTES]]/1024</f>
        <v>0.5703125</v>
      </c>
      <c r="E171" s="3" t="s">
        <v>6</v>
      </c>
      <c r="F171" t="s">
        <v>84</v>
      </c>
      <c r="G171" t="s">
        <v>550</v>
      </c>
      <c r="K171" t="str" cm="1">
        <f t="array" ref="K171">IF(_xlfn.XLOOKUP(TRIM(A171),TRIM('Espai x esquema'!$A:$A),'Espai x esquema'!$E:$E,"",0)="Sí, però",
   "Sí",
   _xlfn.XLOOKUP(TRIM(A171),TRIM('Espai x esquema'!$A:$A),'Espai x esquema'!$E:$E,"",0))</f>
        <v>No</v>
      </c>
    </row>
    <row r="172" spans="1:11">
      <c r="A172" t="s">
        <v>500</v>
      </c>
      <c r="B172" t="s">
        <v>649</v>
      </c>
      <c r="C172">
        <v>581</v>
      </c>
      <c r="D172">
        <v>0.56738281300000004</v>
      </c>
      <c r="E172" s="3" t="s">
        <v>6</v>
      </c>
      <c r="F172" t="s">
        <v>116</v>
      </c>
      <c r="G172" t="s">
        <v>422</v>
      </c>
      <c r="K172" t="str" cm="1">
        <f t="array" ref="K172">IF(_xlfn.XLOOKUP(TRIM(A172),TRIM('Espai x esquema'!$A:$A),'Espai x esquema'!$E:$E,"",0)="Sí, però",
   "Sí",
   _xlfn.XLOOKUP(TRIM(A172),TRIM('Espai x esquema'!$A:$A),'Espai x esquema'!$E:$E,"",0))</f>
        <v>No</v>
      </c>
    </row>
    <row r="173" spans="1:11">
      <c r="A173" t="s">
        <v>573</v>
      </c>
      <c r="B173" t="s">
        <v>650</v>
      </c>
      <c r="C173">
        <v>568</v>
      </c>
      <c r="D173">
        <f>new_212__3[[#This Row],[MBYTES]]/1024</f>
        <v>0.5546875</v>
      </c>
      <c r="E173" s="3" t="s">
        <v>6</v>
      </c>
      <c r="F173" t="s">
        <v>84</v>
      </c>
      <c r="K173" t="str" cm="1">
        <f t="array" ref="K173">IF(_xlfn.XLOOKUP(TRIM(A173),TRIM('Espai x esquema'!$A:$A),'Espai x esquema'!$E:$E,"",0)="Sí, però",
   "Sí",
   _xlfn.XLOOKUP(TRIM(A173),TRIM('Espai x esquema'!$A:$A),'Espai x esquema'!$E:$E,"",0))</f>
        <v>No</v>
      </c>
    </row>
    <row r="174" spans="1:11">
      <c r="A174" t="s">
        <v>568</v>
      </c>
      <c r="B174" t="s">
        <v>651</v>
      </c>
      <c r="C174">
        <v>568</v>
      </c>
      <c r="D174">
        <f>new_212__3[[#This Row],[MBYTES]]/1024</f>
        <v>0.5546875</v>
      </c>
      <c r="E174" s="3" t="s">
        <v>6</v>
      </c>
      <c r="F174" t="s">
        <v>84</v>
      </c>
      <c r="G174" t="s">
        <v>417</v>
      </c>
      <c r="K174" t="str" cm="1">
        <f t="array" ref="K174">IF(_xlfn.XLOOKUP(TRIM(A174),TRIM('Espai x esquema'!$A:$A),'Espai x esquema'!$E:$E,"",0)="Sí, però",
   "Sí",
   _xlfn.XLOOKUP(TRIM(A174),TRIM('Espai x esquema'!$A:$A),'Espai x esquema'!$E:$E,"",0))</f>
        <v>No</v>
      </c>
    </row>
    <row r="175" spans="1:11">
      <c r="A175" t="s">
        <v>30</v>
      </c>
      <c r="B175" t="s">
        <v>652</v>
      </c>
      <c r="C175">
        <v>568</v>
      </c>
      <c r="D175">
        <f>new_212__3[[#This Row],[MBYTES]]/1024</f>
        <v>0.5546875</v>
      </c>
      <c r="E175" s="3" t="s">
        <v>6</v>
      </c>
      <c r="F175" t="s">
        <v>84</v>
      </c>
      <c r="H175" t="s">
        <v>440</v>
      </c>
      <c r="K175" t="str" cm="1">
        <f t="array" ref="K175">IF(_xlfn.XLOOKUP(TRIM(A175),TRIM('Espai x esquema'!$A:$A),'Espai x esquema'!$E:$E,"",0)="Sí, però",
   "Sí",
   _xlfn.XLOOKUP(TRIM(A175),TRIM('Espai x esquema'!$A:$A),'Espai x esquema'!$E:$E,"",0))</f>
        <v>No</v>
      </c>
    </row>
    <row r="176" spans="1:11">
      <c r="A176" t="s">
        <v>48</v>
      </c>
      <c r="B176" t="s">
        <v>653</v>
      </c>
      <c r="C176">
        <v>560</v>
      </c>
      <c r="D176">
        <f>new_212__3[[#This Row],[MBYTES]]/1024</f>
        <v>0.546875</v>
      </c>
      <c r="E176" s="3" t="s">
        <v>8</v>
      </c>
      <c r="F176" t="s">
        <v>101</v>
      </c>
      <c r="G176" s="4" t="s">
        <v>448</v>
      </c>
      <c r="H176" t="s">
        <v>449</v>
      </c>
      <c r="J176" t="s">
        <v>45</v>
      </c>
      <c r="K176" t="str" cm="1">
        <f t="array" ref="K176">IF(_xlfn.XLOOKUP(TRIM(A176),TRIM('Espai x esquema'!$A:$A),'Espai x esquema'!$E:$E,"",0)="Sí, però",
   "Sí",
   _xlfn.XLOOKUP(TRIM(A176),TRIM('Espai x esquema'!$A:$A),'Espai x esquema'!$E:$E,"",0))</f>
        <v>No</v>
      </c>
    </row>
    <row r="177" spans="1:11">
      <c r="A177" t="s">
        <v>34</v>
      </c>
      <c r="B177" t="s">
        <v>654</v>
      </c>
      <c r="C177">
        <v>557</v>
      </c>
      <c r="D177">
        <f>new_212__3[[#This Row],[MBYTES]]/1024</f>
        <v>0.5439453125</v>
      </c>
      <c r="E177" s="3" t="s">
        <v>6</v>
      </c>
      <c r="F177" t="s">
        <v>84</v>
      </c>
      <c r="G177" t="s">
        <v>428</v>
      </c>
      <c r="K177" t="str" cm="1">
        <f t="array" ref="K177">IF(_xlfn.XLOOKUP(TRIM(A177),TRIM('Espai x esquema'!$A:$A),'Espai x esquema'!$E:$E,"",0)="Sí, però",
   "Sí",
   _xlfn.XLOOKUP(TRIM(A177),TRIM('Espai x esquema'!$A:$A),'Espai x esquema'!$E:$E,"",0))</f>
        <v>No</v>
      </c>
    </row>
    <row r="178" spans="1:11">
      <c r="A178" t="s">
        <v>30</v>
      </c>
      <c r="B178" t="s">
        <v>655</v>
      </c>
      <c r="C178">
        <v>553</v>
      </c>
      <c r="D178">
        <f>new_212__3[[#This Row],[MBYTES]]/1024</f>
        <v>0.5400390625</v>
      </c>
      <c r="E178" s="3" t="s">
        <v>6</v>
      </c>
      <c r="F178" t="s">
        <v>84</v>
      </c>
      <c r="H178" t="s">
        <v>440</v>
      </c>
      <c r="K178" t="str" cm="1">
        <f t="array" ref="K178">IF(_xlfn.XLOOKUP(TRIM(A178),TRIM('Espai x esquema'!$A:$A),'Espai x esquema'!$E:$E,"",0)="Sí, però",
   "Sí",
   _xlfn.XLOOKUP(TRIM(A178),TRIM('Espai x esquema'!$A:$A),'Espai x esquema'!$E:$E,"",0))</f>
        <v>No</v>
      </c>
    </row>
    <row r="179" spans="1:11">
      <c r="A179" t="s">
        <v>34</v>
      </c>
      <c r="B179" t="s">
        <v>656</v>
      </c>
      <c r="C179">
        <v>544</v>
      </c>
      <c r="D179">
        <f>new_212__3[[#This Row],[MBYTES]]/1024</f>
        <v>0.53125</v>
      </c>
      <c r="E179" s="3" t="s">
        <v>8</v>
      </c>
      <c r="F179" t="s">
        <v>84</v>
      </c>
      <c r="G179" t="s">
        <v>589</v>
      </c>
      <c r="J179" t="s">
        <v>15</v>
      </c>
      <c r="K179" t="str" cm="1">
        <f t="array" ref="K179">IF(_xlfn.XLOOKUP(TRIM(A179),TRIM('Espai x esquema'!$A:$A),'Espai x esquema'!$E:$E,"",0)="Sí, però",
   "Sí",
   _xlfn.XLOOKUP(TRIM(A179),TRIM('Espai x esquema'!$A:$A),'Espai x esquema'!$E:$E,"",0))</f>
        <v>No</v>
      </c>
    </row>
    <row r="180" spans="1:11">
      <c r="A180" t="s">
        <v>445</v>
      </c>
      <c r="B180" t="s">
        <v>657</v>
      </c>
      <c r="C180">
        <v>538</v>
      </c>
      <c r="D180">
        <f>new_212__3[[#This Row],[MBYTES]]/1024</f>
        <v>0.525390625</v>
      </c>
      <c r="E180" s="3" t="s">
        <v>6</v>
      </c>
      <c r="F180" t="s">
        <v>84</v>
      </c>
      <c r="H180" t="s">
        <v>440</v>
      </c>
      <c r="K180" t="str" cm="1">
        <f t="array" ref="K180">IF(_xlfn.XLOOKUP(TRIM(A180),TRIM('Espai x esquema'!$A:$A),'Espai x esquema'!$E:$E,"",0)="Sí, però",
   "Sí",
   _xlfn.XLOOKUP(TRIM(A180),TRIM('Espai x esquema'!$A:$A),'Espai x esquema'!$E:$E,"",0))</f>
        <v>No</v>
      </c>
    </row>
    <row r="181" spans="1:11">
      <c r="A181" t="s">
        <v>658</v>
      </c>
      <c r="B181" t="s">
        <v>659</v>
      </c>
      <c r="C181">
        <v>536</v>
      </c>
      <c r="D181">
        <v>0.5234375</v>
      </c>
      <c r="E181" s="3" t="s">
        <v>6</v>
      </c>
      <c r="F181" t="s">
        <v>116</v>
      </c>
      <c r="G181" t="s">
        <v>422</v>
      </c>
      <c r="K181" t="str" cm="1">
        <f t="array" ref="K181">IF(_xlfn.XLOOKUP(TRIM(A181),TRIM('Espai x esquema'!$A:$A),'Espai x esquema'!$E:$E,"",0)="Sí, però",
   "Sí",
   _xlfn.XLOOKUP(TRIM(A181),TRIM('Espai x esquema'!$A:$A),'Espai x esquema'!$E:$E,"",0))</f>
        <v>No</v>
      </c>
    </row>
    <row r="182" spans="1:11">
      <c r="A182" t="s">
        <v>513</v>
      </c>
      <c r="B182" t="s">
        <v>660</v>
      </c>
      <c r="C182">
        <v>536</v>
      </c>
      <c r="D182">
        <v>0.5234375</v>
      </c>
      <c r="E182" s="3" t="s">
        <v>6</v>
      </c>
      <c r="F182" t="s">
        <v>116</v>
      </c>
      <c r="G182" t="s">
        <v>422</v>
      </c>
      <c r="K182" t="str" cm="1">
        <f t="array" ref="K182">IF(_xlfn.XLOOKUP(TRIM(A182),TRIM('Espai x esquema'!$A:$A),'Espai x esquema'!$E:$E,"",0)="Sí, però",
   "Sí",
   _xlfn.XLOOKUP(TRIM(A182),TRIM('Espai x esquema'!$A:$A),'Espai x esquema'!$E:$E,"",0))</f>
        <v>No</v>
      </c>
    </row>
    <row r="183" spans="1:11">
      <c r="A183" t="s">
        <v>48</v>
      </c>
      <c r="B183" t="s">
        <v>661</v>
      </c>
      <c r="C183">
        <v>536</v>
      </c>
      <c r="D183">
        <f>new_212__3[[#This Row],[MBYTES]]/1024</f>
        <v>0.5234375</v>
      </c>
      <c r="E183" s="3" t="s">
        <v>8</v>
      </c>
      <c r="F183" t="s">
        <v>101</v>
      </c>
      <c r="G183" t="s">
        <v>617</v>
      </c>
      <c r="H183" t="s">
        <v>618</v>
      </c>
      <c r="J183" t="s">
        <v>45</v>
      </c>
      <c r="K183" t="str" cm="1">
        <f t="array" ref="K183">IF(_xlfn.XLOOKUP(TRIM(A183),TRIM('Espai x esquema'!$A:$A),'Espai x esquema'!$E:$E,"",0)="Sí, però",
   "Sí",
   _xlfn.XLOOKUP(TRIM(A183),TRIM('Espai x esquema'!$A:$A),'Espai x esquema'!$E:$E,"",0))</f>
        <v>No</v>
      </c>
    </row>
    <row r="184" spans="1:11">
      <c r="A184" t="s">
        <v>662</v>
      </c>
      <c r="B184" t="s">
        <v>663</v>
      </c>
      <c r="C184">
        <v>525</v>
      </c>
      <c r="D184">
        <f>new_212__3[[#This Row],[MBYTES]]/1024</f>
        <v>0.5126953125</v>
      </c>
      <c r="E184" s="3" t="s">
        <v>6</v>
      </c>
      <c r="F184" t="s">
        <v>84</v>
      </c>
      <c r="K184" t="str" cm="1">
        <f t="array" ref="K184">IF(_xlfn.XLOOKUP(TRIM(A184),TRIM('Espai x esquema'!$A:$A),'Espai x esquema'!$E:$E,"",0)="Sí, però",
   "Sí",
   _xlfn.XLOOKUP(TRIM(A184),TRIM('Espai x esquema'!$A:$A),'Espai x esquema'!$E:$E,"",0))</f>
        <v>No</v>
      </c>
    </row>
    <row r="185" spans="1:11">
      <c r="A185" t="s">
        <v>513</v>
      </c>
      <c r="B185" t="s">
        <v>664</v>
      </c>
      <c r="C185">
        <v>497</v>
      </c>
      <c r="D185">
        <v>0.48535156299999999</v>
      </c>
      <c r="E185" s="3" t="s">
        <v>6</v>
      </c>
      <c r="F185" t="s">
        <v>116</v>
      </c>
      <c r="G185" t="s">
        <v>422</v>
      </c>
      <c r="K185" t="str" cm="1">
        <f t="array" ref="K185">IF(_xlfn.XLOOKUP(TRIM(A185),TRIM('Espai x esquema'!$A:$A),'Espai x esquema'!$E:$E,"",0)="Sí, però",
   "Sí",
   _xlfn.XLOOKUP(TRIM(A185),TRIM('Espai x esquema'!$A:$A),'Espai x esquema'!$E:$E,"",0))</f>
        <v>No</v>
      </c>
    </row>
    <row r="186" spans="1:11">
      <c r="A186" t="s">
        <v>665</v>
      </c>
      <c r="B186" t="s">
        <v>666</v>
      </c>
      <c r="C186">
        <v>496</v>
      </c>
      <c r="D186">
        <f>new_212__3[[#This Row],[MBYTES]]/1024</f>
        <v>0.484375</v>
      </c>
      <c r="E186" s="3" t="s">
        <v>6</v>
      </c>
      <c r="F186" t="s">
        <v>84</v>
      </c>
      <c r="G186" t="s">
        <v>417</v>
      </c>
      <c r="K186" t="str" cm="1">
        <f t="array" ref="K186">IF(_xlfn.XLOOKUP(TRIM(A186),TRIM('Espai x esquema'!$A:$A),'Espai x esquema'!$E:$E,"",0)="Sí, però",
   "Sí",
   _xlfn.XLOOKUP(TRIM(A186),TRIM('Espai x esquema'!$A:$A),'Espai x esquema'!$E:$E,"",0))</f>
        <v>No</v>
      </c>
    </row>
    <row r="187" spans="1:11">
      <c r="A187" t="s">
        <v>48</v>
      </c>
      <c r="B187" t="s">
        <v>667</v>
      </c>
      <c r="C187">
        <v>496</v>
      </c>
      <c r="D187">
        <f>new_212__3[[#This Row],[MBYTES]]/1024</f>
        <v>0.484375</v>
      </c>
      <c r="E187" s="3" t="s">
        <v>6</v>
      </c>
      <c r="F187" t="s">
        <v>101</v>
      </c>
      <c r="G187" t="s">
        <v>668</v>
      </c>
      <c r="K187" t="str" cm="1">
        <f t="array" ref="K187">IF(_xlfn.XLOOKUP(TRIM(A187),TRIM('Espai x esquema'!$A:$A),'Espai x esquema'!$E:$E,"",0)="Sí, però",
   "Sí",
   _xlfn.XLOOKUP(TRIM(A187),TRIM('Espai x esquema'!$A:$A),'Espai x esquema'!$E:$E,"",0))</f>
        <v>No</v>
      </c>
    </row>
    <row r="188" spans="1:11">
      <c r="A188" t="s">
        <v>669</v>
      </c>
      <c r="B188" t="s">
        <v>670</v>
      </c>
      <c r="C188">
        <v>496</v>
      </c>
      <c r="D188">
        <f>new_212__3[[#This Row],[MBYTES]]/1024</f>
        <v>0.484375</v>
      </c>
      <c r="E188" s="3" t="s">
        <v>5</v>
      </c>
      <c r="K188" t="str" cm="1">
        <f t="array" ref="K188">IF(_xlfn.XLOOKUP(TRIM(A188),TRIM('Espai x esquema'!$A:$A),'Espai x esquema'!$E:$E,"",0)="Sí, però",
   "Sí",
   _xlfn.XLOOKUP(TRIM(A188),TRIM('Espai x esquema'!$A:$A),'Espai x esquema'!$E:$E,"",0))</f>
        <v>??</v>
      </c>
    </row>
    <row r="189" spans="1:11">
      <c r="A189" t="s">
        <v>540</v>
      </c>
      <c r="B189" t="s">
        <v>671</v>
      </c>
      <c r="C189">
        <v>488</v>
      </c>
      <c r="D189">
        <v>0.4765625</v>
      </c>
      <c r="E189" s="3" t="s">
        <v>6</v>
      </c>
      <c r="F189" t="s">
        <v>116</v>
      </c>
      <c r="G189" t="s">
        <v>422</v>
      </c>
      <c r="K189" t="str" cm="1">
        <f t="array" ref="K189">IF(_xlfn.XLOOKUP(TRIM(A189),TRIM('Espai x esquema'!$A:$A),'Espai x esquema'!$E:$E,"",0)="Sí, però",
   "Sí",
   _xlfn.XLOOKUP(TRIM(A189),TRIM('Espai x esquema'!$A:$A),'Espai x esquema'!$E:$E,"",0))</f>
        <v>Sí</v>
      </c>
    </row>
    <row r="190" spans="1:11">
      <c r="A190" t="s">
        <v>26</v>
      </c>
      <c r="B190" t="s">
        <v>672</v>
      </c>
      <c r="C190">
        <v>488</v>
      </c>
      <c r="D190">
        <f>new_212__3[[#This Row],[MBYTES]]/1024</f>
        <v>0.4765625</v>
      </c>
      <c r="E190" s="3" t="s">
        <v>8</v>
      </c>
      <c r="F190" t="s">
        <v>84</v>
      </c>
      <c r="G190" t="s">
        <v>582</v>
      </c>
      <c r="J190" t="s">
        <v>15</v>
      </c>
      <c r="K190" t="str" cm="1">
        <f t="array" ref="K190">IF(_xlfn.XLOOKUP(TRIM(A190),TRIM('Espai x esquema'!$A:$A),'Espai x esquema'!$E:$E,"",0)="Sí, però",
   "Sí",
   _xlfn.XLOOKUP(TRIM(A190),TRIM('Espai x esquema'!$A:$A),'Espai x esquema'!$E:$E,"",0))</f>
        <v>No</v>
      </c>
    </row>
    <row r="191" spans="1:11">
      <c r="A191" t="s">
        <v>669</v>
      </c>
      <c r="B191" t="s">
        <v>673</v>
      </c>
      <c r="C191">
        <v>488</v>
      </c>
      <c r="D191">
        <f>new_212__3[[#This Row],[MBYTES]]/1024</f>
        <v>0.4765625</v>
      </c>
      <c r="E191" s="3" t="s">
        <v>5</v>
      </c>
      <c r="K191" t="str" cm="1">
        <f t="array" ref="K191">IF(_xlfn.XLOOKUP(TRIM(A191),TRIM('Espai x esquema'!$A:$A),'Espai x esquema'!$E:$E,"",0)="Sí, però",
   "Sí",
   _xlfn.XLOOKUP(TRIM(A191),TRIM('Espai x esquema'!$A:$A),'Espai x esquema'!$E:$E,"",0))</f>
        <v>??</v>
      </c>
    </row>
    <row r="192" spans="1:11">
      <c r="A192" t="s">
        <v>22</v>
      </c>
      <c r="B192" t="s">
        <v>674</v>
      </c>
      <c r="C192">
        <v>484</v>
      </c>
      <c r="D192">
        <f>new_212__3[[#This Row],[MBYTES]]/1024</f>
        <v>0.47265625</v>
      </c>
      <c r="E192" s="3" t="s">
        <v>6</v>
      </c>
      <c r="F192" t="s">
        <v>84</v>
      </c>
      <c r="G192" t="s">
        <v>417</v>
      </c>
      <c r="K192" t="str" cm="1">
        <f t="array" ref="K192">IF(_xlfn.XLOOKUP(TRIM(A192),TRIM('Espai x esquema'!$A:$A),'Espai x esquema'!$E:$E,"",0)="Sí, però",
   "Sí",
   _xlfn.XLOOKUP(TRIM(A192),TRIM('Espai x esquema'!$A:$A),'Espai x esquema'!$E:$E,"",0))</f>
        <v>No</v>
      </c>
    </row>
    <row r="193" spans="1:11">
      <c r="A193" t="s">
        <v>675</v>
      </c>
      <c r="B193" t="s">
        <v>676</v>
      </c>
      <c r="C193">
        <v>480</v>
      </c>
      <c r="D193">
        <f>new_212__3[[#This Row],[MBYTES]]/1024</f>
        <v>0.46875</v>
      </c>
      <c r="E193" s="3" t="s">
        <v>6</v>
      </c>
      <c r="F193" t="s">
        <v>84</v>
      </c>
      <c r="K193" t="str" cm="1">
        <f t="array" ref="K193">IF(_xlfn.XLOOKUP(TRIM(A193),TRIM('Espai x esquema'!$A:$A),'Espai x esquema'!$E:$E,"",0)="Sí, però",
   "Sí",
   _xlfn.XLOOKUP(TRIM(A193),TRIM('Espai x esquema'!$A:$A),'Espai x esquema'!$E:$E,"",0))</f>
        <v>No</v>
      </c>
    </row>
    <row r="194" spans="1:11">
      <c r="A194" t="s">
        <v>521</v>
      </c>
      <c r="B194" t="s">
        <v>677</v>
      </c>
      <c r="C194">
        <v>474</v>
      </c>
      <c r="D194">
        <v>0.462890625</v>
      </c>
      <c r="E194" s="3" t="s">
        <v>6</v>
      </c>
      <c r="F194" t="s">
        <v>116</v>
      </c>
      <c r="G194" t="s">
        <v>422</v>
      </c>
      <c r="K194" t="str" cm="1">
        <f t="array" ref="K194">IF(_xlfn.XLOOKUP(TRIM(A194),TRIM('Espai x esquema'!$A:$A),'Espai x esquema'!$E:$E,"",0)="Sí, però",
   "Sí",
   _xlfn.XLOOKUP(TRIM(A194),TRIM('Espai x esquema'!$A:$A),'Espai x esquema'!$E:$E,"",0))</f>
        <v>No</v>
      </c>
    </row>
    <row r="195" spans="1:11">
      <c r="A195" t="s">
        <v>678</v>
      </c>
      <c r="B195" t="s">
        <v>623</v>
      </c>
      <c r="C195">
        <v>472</v>
      </c>
      <c r="D195">
        <f>new_212__3[[#This Row],[MBYTES]]/1024</f>
        <v>0.4609375</v>
      </c>
      <c r="E195" s="3" t="s">
        <v>6</v>
      </c>
      <c r="F195" t="s">
        <v>84</v>
      </c>
      <c r="G195" t="s">
        <v>426</v>
      </c>
      <c r="K195" t="str" cm="1">
        <f t="array" ref="K195">IF(_xlfn.XLOOKUP(TRIM(A195),TRIM('Espai x esquema'!$A:$A),'Espai x esquema'!$E:$E,"",0)="Sí, però",
   "Sí",
   _xlfn.XLOOKUP(TRIM(A195),TRIM('Espai x esquema'!$A:$A),'Espai x esquema'!$E:$E,"",0))</f>
        <v>No</v>
      </c>
    </row>
    <row r="196" spans="1:11">
      <c r="A196" t="s">
        <v>479</v>
      </c>
      <c r="B196" t="s">
        <v>679</v>
      </c>
      <c r="C196">
        <v>449</v>
      </c>
      <c r="D196">
        <f>new_212__3[[#This Row],[MBYTES]]/1024</f>
        <v>0.4384765625</v>
      </c>
      <c r="E196" s="3" t="s">
        <v>6</v>
      </c>
      <c r="F196" t="s">
        <v>84</v>
      </c>
      <c r="H196" t="s">
        <v>481</v>
      </c>
      <c r="K196" t="str" cm="1">
        <f t="array" ref="K196">IF(_xlfn.XLOOKUP(TRIM(A196),TRIM('Espai x esquema'!$A:$A),'Espai x esquema'!$E:$E,"",0)="Sí, però",
   "Sí",
   _xlfn.XLOOKUP(TRIM(A196),TRIM('Espai x esquema'!$A:$A),'Espai x esquema'!$E:$E,"",0))</f>
        <v>No</v>
      </c>
    </row>
    <row r="197" spans="1:11">
      <c r="A197" t="s">
        <v>521</v>
      </c>
      <c r="B197" t="s">
        <v>680</v>
      </c>
      <c r="C197">
        <v>448</v>
      </c>
      <c r="D197">
        <v>0.4375</v>
      </c>
      <c r="E197" s="3" t="s">
        <v>6</v>
      </c>
      <c r="F197" t="s">
        <v>116</v>
      </c>
      <c r="G197" t="s">
        <v>422</v>
      </c>
      <c r="K197" t="str" cm="1">
        <f t="array" ref="K197">IF(_xlfn.XLOOKUP(TRIM(A197),TRIM('Espai x esquema'!$A:$A),'Espai x esquema'!$E:$E,"",0)="Sí, però",
   "Sí",
   _xlfn.XLOOKUP(TRIM(A197),TRIM('Espai x esquema'!$A:$A),'Espai x esquema'!$E:$E,"",0))</f>
        <v>No</v>
      </c>
    </row>
    <row r="198" spans="1:11">
      <c r="A198" t="s">
        <v>681</v>
      </c>
      <c r="B198" t="s">
        <v>682</v>
      </c>
      <c r="C198">
        <v>448</v>
      </c>
      <c r="D198">
        <v>0.4375</v>
      </c>
      <c r="E198" s="3" t="s">
        <v>6</v>
      </c>
      <c r="F198" t="s">
        <v>116</v>
      </c>
      <c r="G198" t="s">
        <v>422</v>
      </c>
      <c r="K198" t="str" cm="1">
        <f t="array" ref="K198">IF(_xlfn.XLOOKUP(TRIM(A198),TRIM('Espai x esquema'!$A:$A),'Espai x esquema'!$E:$E,"",0)="Sí, però",
   "Sí",
   _xlfn.XLOOKUP(TRIM(A198),TRIM('Espai x esquema'!$A:$A),'Espai x esquema'!$E:$E,"",0))</f>
        <v>No</v>
      </c>
    </row>
    <row r="199" spans="1:11">
      <c r="A199" t="s">
        <v>17</v>
      </c>
      <c r="B199" t="s">
        <v>683</v>
      </c>
      <c r="C199">
        <v>443</v>
      </c>
      <c r="D199">
        <f>new_212__3[[#This Row],[MBYTES]]/1024</f>
        <v>0.4326171875</v>
      </c>
      <c r="E199" s="3" t="s">
        <v>8</v>
      </c>
      <c r="F199" t="s">
        <v>84</v>
      </c>
      <c r="H199" t="s">
        <v>520</v>
      </c>
      <c r="J199" t="s">
        <v>5</v>
      </c>
      <c r="K199" t="str" cm="1">
        <f t="array" ref="K199">IF(_xlfn.XLOOKUP(TRIM(A199),TRIM('Espai x esquema'!$A:$A),'Espai x esquema'!$E:$E,"",0)="Sí, però",
   "Sí",
   _xlfn.XLOOKUP(TRIM(A199),TRIM('Espai x esquema'!$A:$A),'Espai x esquema'!$E:$E,"",0))</f>
        <v>??</v>
      </c>
    </row>
    <row r="200" spans="1:11">
      <c r="A200" t="s">
        <v>505</v>
      </c>
      <c r="B200" t="s">
        <v>684</v>
      </c>
      <c r="C200">
        <v>428</v>
      </c>
      <c r="D200">
        <v>0.41796875</v>
      </c>
      <c r="E200" s="3" t="s">
        <v>6</v>
      </c>
      <c r="F200" t="s">
        <v>116</v>
      </c>
      <c r="G200" t="s">
        <v>422</v>
      </c>
      <c r="K200" t="str" cm="1">
        <f t="array" ref="K200">IF(_xlfn.XLOOKUP(TRIM(A200),TRIM('Espai x esquema'!$A:$A),'Espai x esquema'!$E:$E,"",0)="Sí, però",
   "Sí",
   _xlfn.XLOOKUP(TRIM(A200),TRIM('Espai x esquema'!$A:$A),'Espai x esquema'!$E:$E,"",0))</f>
        <v>No</v>
      </c>
    </row>
    <row r="201" spans="1:11">
      <c r="A201" t="s">
        <v>685</v>
      </c>
      <c r="B201" t="s">
        <v>686</v>
      </c>
      <c r="C201">
        <v>424</v>
      </c>
      <c r="D201">
        <v>0.4140625</v>
      </c>
      <c r="E201" s="3" t="s">
        <v>6</v>
      </c>
      <c r="F201" t="s">
        <v>116</v>
      </c>
      <c r="G201" t="s">
        <v>422</v>
      </c>
      <c r="K201" t="str" cm="1">
        <f t="array" ref="K201">IF(_xlfn.XLOOKUP(TRIM(A201),TRIM('Espai x esquema'!$A:$A),'Espai x esquema'!$E:$E,"",0)="Sí, però",
   "Sí",
   _xlfn.XLOOKUP(TRIM(A201),TRIM('Espai x esquema'!$A:$A),'Espai x esquema'!$E:$E,"",0))</f>
        <v>No</v>
      </c>
    </row>
    <row r="202" spans="1:11">
      <c r="A202" t="s">
        <v>685</v>
      </c>
      <c r="B202" t="s">
        <v>687</v>
      </c>
      <c r="C202">
        <v>424</v>
      </c>
      <c r="D202">
        <v>0.4140625</v>
      </c>
      <c r="E202" s="3" t="s">
        <v>6</v>
      </c>
      <c r="F202" t="s">
        <v>116</v>
      </c>
      <c r="G202" t="s">
        <v>422</v>
      </c>
      <c r="K202" t="str" cm="1">
        <f t="array" ref="K202">IF(_xlfn.XLOOKUP(TRIM(A202),TRIM('Espai x esquema'!$A:$A),'Espai x esquema'!$E:$E,"",0)="Sí, però",
   "Sí",
   _xlfn.XLOOKUP(TRIM(A202),TRIM('Espai x esquema'!$A:$A),'Espai x esquema'!$E:$E,"",0))</f>
        <v>No</v>
      </c>
    </row>
    <row r="203" spans="1:11">
      <c r="A203" t="s">
        <v>495</v>
      </c>
      <c r="B203" t="s">
        <v>688</v>
      </c>
      <c r="C203">
        <v>416</v>
      </c>
      <c r="D203">
        <v>0.40625</v>
      </c>
      <c r="E203" s="3" t="s">
        <v>6</v>
      </c>
      <c r="F203" t="s">
        <v>116</v>
      </c>
      <c r="G203" t="s">
        <v>422</v>
      </c>
      <c r="K203" t="str" cm="1">
        <f t="array" ref="K203">IF(_xlfn.XLOOKUP(TRIM(A203),TRIM('Espai x esquema'!$A:$A),'Espai x esquema'!$E:$E,"",0)="Sí, però",
   "Sí",
   _xlfn.XLOOKUP(TRIM(A203),TRIM('Espai x esquema'!$A:$A),'Espai x esquema'!$E:$E,"",0))</f>
        <v>No</v>
      </c>
    </row>
    <row r="204" spans="1:11">
      <c r="A204" t="s">
        <v>592</v>
      </c>
      <c r="B204" t="s">
        <v>689</v>
      </c>
      <c r="C204">
        <v>416</v>
      </c>
      <c r="D204">
        <v>0.40625</v>
      </c>
      <c r="E204" s="3" t="s">
        <v>6</v>
      </c>
      <c r="F204" t="s">
        <v>116</v>
      </c>
      <c r="G204" t="s">
        <v>422</v>
      </c>
      <c r="K204" t="str" cm="1">
        <f t="array" ref="K204">IF(_xlfn.XLOOKUP(TRIM(A204),TRIM('Espai x esquema'!$A:$A),'Espai x esquema'!$E:$E,"",0)="Sí, però",
   "Sí",
   _xlfn.XLOOKUP(TRIM(A204),TRIM('Espai x esquema'!$A:$A),'Espai x esquema'!$E:$E,"",0))</f>
        <v>No</v>
      </c>
    </row>
    <row r="205" spans="1:11">
      <c r="A205" t="s">
        <v>441</v>
      </c>
      <c r="B205" t="s">
        <v>690</v>
      </c>
      <c r="C205">
        <v>393</v>
      </c>
      <c r="D205">
        <v>0.38378906299999999</v>
      </c>
      <c r="E205" s="3" t="s">
        <v>6</v>
      </c>
      <c r="F205" t="s">
        <v>116</v>
      </c>
      <c r="G205" t="s">
        <v>422</v>
      </c>
      <c r="K205" t="str" cm="1">
        <f t="array" ref="K205">IF(_xlfn.XLOOKUP(TRIM(A205),TRIM('Espai x esquema'!$A:$A),'Espai x esquema'!$E:$E,"",0)="Sí, però",
   "Sí",
   _xlfn.XLOOKUP(TRIM(A205),TRIM('Espai x esquema'!$A:$A),'Espai x esquema'!$E:$E,"",0))</f>
        <v>No</v>
      </c>
    </row>
    <row r="206" spans="1:11">
      <c r="A206" t="s">
        <v>475</v>
      </c>
      <c r="B206" t="s">
        <v>691</v>
      </c>
      <c r="C206">
        <v>392</v>
      </c>
      <c r="D206">
        <v>0.3828125</v>
      </c>
      <c r="E206" s="3" t="s">
        <v>6</v>
      </c>
      <c r="F206" t="s">
        <v>116</v>
      </c>
      <c r="G206" t="s">
        <v>422</v>
      </c>
      <c r="K206" t="str" cm="1">
        <f t="array" ref="K206">IF(_xlfn.XLOOKUP(TRIM(A206),TRIM('Espai x esquema'!$A:$A),'Espai x esquema'!$E:$E,"",0)="Sí, però",
   "Sí",
   _xlfn.XLOOKUP(TRIM(A206),TRIM('Espai x esquema'!$A:$A),'Espai x esquema'!$E:$E,"",0))</f>
        <v>No</v>
      </c>
    </row>
    <row r="207" spans="1:11">
      <c r="A207" t="s">
        <v>34</v>
      </c>
      <c r="B207" t="s">
        <v>692</v>
      </c>
      <c r="C207">
        <v>392</v>
      </c>
      <c r="D207">
        <f>new_212__3[[#This Row],[MBYTES]]/1024</f>
        <v>0.3828125</v>
      </c>
      <c r="E207" s="3" t="s">
        <v>6</v>
      </c>
      <c r="F207" t="s">
        <v>84</v>
      </c>
      <c r="G207" t="s">
        <v>428</v>
      </c>
      <c r="K207" t="str" cm="1">
        <f t="array" ref="K207">IF(_xlfn.XLOOKUP(TRIM(A207),TRIM('Espai x esquema'!$A:$A),'Espai x esquema'!$E:$E,"",0)="Sí, però",
   "Sí",
   _xlfn.XLOOKUP(TRIM(A207),TRIM('Espai x esquema'!$A:$A),'Espai x esquema'!$E:$E,"",0))</f>
        <v>No</v>
      </c>
    </row>
    <row r="208" spans="1:11">
      <c r="A208" t="s">
        <v>39</v>
      </c>
      <c r="B208" t="s">
        <v>693</v>
      </c>
      <c r="C208">
        <v>384</v>
      </c>
      <c r="D208">
        <v>0.375</v>
      </c>
      <c r="E208" s="3" t="s">
        <v>8</v>
      </c>
      <c r="F208" t="s">
        <v>116</v>
      </c>
      <c r="G208" t="s">
        <v>422</v>
      </c>
      <c r="H208" t="s">
        <v>694</v>
      </c>
      <c r="J208" t="s">
        <v>31</v>
      </c>
      <c r="K208" t="str" cm="1">
        <f t="array" ref="K208">IF(_xlfn.XLOOKUP(TRIM(A208),TRIM('Espai x esquema'!$A:$A),'Espai x esquema'!$E:$E,"",0)="Sí, però",
   "Sí",
   _xlfn.XLOOKUP(TRIM(A208),TRIM('Espai x esquema'!$A:$A),'Espai x esquema'!$E:$E,"",0))</f>
        <v>Sí</v>
      </c>
    </row>
    <row r="209" spans="1:11">
      <c r="A209" t="s">
        <v>695</v>
      </c>
      <c r="B209" t="s">
        <v>408</v>
      </c>
      <c r="C209">
        <v>384</v>
      </c>
      <c r="D209">
        <f>new_212__3[[#This Row],[MBYTES]]/1024</f>
        <v>0.375</v>
      </c>
      <c r="E209" s="3" t="s">
        <v>6</v>
      </c>
      <c r="F209" t="s">
        <v>84</v>
      </c>
      <c r="G209" t="s">
        <v>474</v>
      </c>
      <c r="K209" t="str" cm="1">
        <f t="array" ref="K209">IF(_xlfn.XLOOKUP(TRIM(A209),TRIM('Espai x esquema'!$A:$A),'Espai x esquema'!$E:$E,"",0)="Sí, però",
   "Sí",
   _xlfn.XLOOKUP(TRIM(A209),TRIM('Espai x esquema'!$A:$A),'Espai x esquema'!$E:$E,"",0))</f>
        <v>No</v>
      </c>
    </row>
    <row r="210" spans="1:11">
      <c r="A210" t="s">
        <v>696</v>
      </c>
      <c r="B210" t="s">
        <v>697</v>
      </c>
      <c r="C210">
        <v>384</v>
      </c>
      <c r="D210">
        <f>new_212__3[[#This Row],[MBYTES]]/1024</f>
        <v>0.375</v>
      </c>
      <c r="E210" s="3" t="s">
        <v>6</v>
      </c>
      <c r="F210" t="s">
        <v>84</v>
      </c>
      <c r="K210" t="str" cm="1">
        <f t="array" ref="K210">IF(_xlfn.XLOOKUP(TRIM(A210),TRIM('Espai x esquema'!$A:$A),'Espai x esquema'!$E:$E,"",0)="Sí, però",
   "Sí",
   _xlfn.XLOOKUP(TRIM(A210),TRIM('Espai x esquema'!$A:$A),'Espai x esquema'!$E:$E,"",0))</f>
        <v>No</v>
      </c>
    </row>
    <row r="211" spans="1:11">
      <c r="A211" t="s">
        <v>441</v>
      </c>
      <c r="B211" t="s">
        <v>698</v>
      </c>
      <c r="C211">
        <v>383</v>
      </c>
      <c r="D211">
        <v>0.37402343799999999</v>
      </c>
      <c r="E211" s="3" t="s">
        <v>6</v>
      </c>
      <c r="F211" t="s">
        <v>116</v>
      </c>
      <c r="G211" t="s">
        <v>422</v>
      </c>
      <c r="K211" t="str" cm="1">
        <f t="array" ref="K211">IF(_xlfn.XLOOKUP(TRIM(A211),TRIM('Espai x esquema'!$A:$A),'Espai x esquema'!$E:$E,"",0)="Sí, però",
   "Sí",
   _xlfn.XLOOKUP(TRIM(A211),TRIM('Espai x esquema'!$A:$A),'Espai x esquema'!$E:$E,"",0))</f>
        <v>No</v>
      </c>
    </row>
    <row r="212" spans="1:11">
      <c r="A212" t="s">
        <v>17</v>
      </c>
      <c r="B212" t="s">
        <v>699</v>
      </c>
      <c r="C212">
        <v>376</v>
      </c>
      <c r="D212">
        <f>new_212__3[[#This Row],[MBYTES]]/1024</f>
        <v>0.3671875</v>
      </c>
      <c r="E212" s="3" t="s">
        <v>8</v>
      </c>
      <c r="F212" t="s">
        <v>84</v>
      </c>
      <c r="H212" t="s">
        <v>520</v>
      </c>
      <c r="J212" t="s">
        <v>5</v>
      </c>
      <c r="K212" t="str" cm="1">
        <f t="array" ref="K212">IF(_xlfn.XLOOKUP(TRIM(A212),TRIM('Espai x esquema'!$A:$A),'Espai x esquema'!$E:$E,"",0)="Sí, però",
   "Sí",
   _xlfn.XLOOKUP(TRIM(A212),TRIM('Espai x esquema'!$A:$A),'Espai x esquema'!$E:$E,"",0))</f>
        <v>??</v>
      </c>
    </row>
    <row r="213" spans="1:11">
      <c r="A213" t="s">
        <v>548</v>
      </c>
      <c r="B213" t="s">
        <v>700</v>
      </c>
      <c r="C213">
        <v>368</v>
      </c>
      <c r="D213">
        <f>new_212__3[[#This Row],[MBYTES]]/1024</f>
        <v>0.359375</v>
      </c>
      <c r="E213" s="3" t="s">
        <v>6</v>
      </c>
      <c r="F213" t="s">
        <v>84</v>
      </c>
      <c r="G213" t="s">
        <v>550</v>
      </c>
      <c r="K213" t="str" cm="1">
        <f t="array" ref="K213">IF(_xlfn.XLOOKUP(TRIM(A213),TRIM('Espai x esquema'!$A:$A),'Espai x esquema'!$E:$E,"",0)="Sí, però",
   "Sí",
   _xlfn.XLOOKUP(TRIM(A213),TRIM('Espai x esquema'!$A:$A),'Espai x esquema'!$E:$E,"",0))</f>
        <v>No</v>
      </c>
    </row>
    <row r="214" spans="1:11">
      <c r="A214" t="s">
        <v>30</v>
      </c>
      <c r="B214" t="s">
        <v>701</v>
      </c>
      <c r="C214">
        <v>368</v>
      </c>
      <c r="D214">
        <f>new_212__3[[#This Row],[MBYTES]]/1024</f>
        <v>0.359375</v>
      </c>
      <c r="E214" s="3" t="s">
        <v>6</v>
      </c>
      <c r="F214" t="s">
        <v>84</v>
      </c>
      <c r="H214" t="s">
        <v>440</v>
      </c>
      <c r="K214" t="str" cm="1">
        <f t="array" ref="K214">IF(_xlfn.XLOOKUP(TRIM(A214),TRIM('Espai x esquema'!$A:$A),'Espai x esquema'!$E:$E,"",0)="Sí, però",
   "Sí",
   _xlfn.XLOOKUP(TRIM(A214),TRIM('Espai x esquema'!$A:$A),'Espai x esquema'!$E:$E,"",0))</f>
        <v>No</v>
      </c>
    </row>
    <row r="215" spans="1:11">
      <c r="A215" t="s">
        <v>30</v>
      </c>
      <c r="B215" t="s">
        <v>702</v>
      </c>
      <c r="C215">
        <v>368</v>
      </c>
      <c r="D215">
        <f>new_212__3[[#This Row],[MBYTES]]/1024</f>
        <v>0.359375</v>
      </c>
      <c r="E215" s="3" t="s">
        <v>6</v>
      </c>
      <c r="F215" t="s">
        <v>84</v>
      </c>
      <c r="H215" t="s">
        <v>440</v>
      </c>
      <c r="K215" t="str" cm="1">
        <f t="array" ref="K215">IF(_xlfn.XLOOKUP(TRIM(A215),TRIM('Espai x esquema'!$A:$A),'Espai x esquema'!$E:$E,"",0)="Sí, però",
   "Sí",
   _xlfn.XLOOKUP(TRIM(A215),TRIM('Espai x esquema'!$A:$A),'Espai x esquema'!$E:$E,"",0))</f>
        <v>No</v>
      </c>
    </row>
    <row r="216" spans="1:11">
      <c r="A216" t="s">
        <v>441</v>
      </c>
      <c r="B216" t="s">
        <v>703</v>
      </c>
      <c r="C216">
        <v>365</v>
      </c>
      <c r="D216">
        <v>0.35644531299999999</v>
      </c>
      <c r="E216" s="3" t="s">
        <v>6</v>
      </c>
      <c r="F216" t="s">
        <v>116</v>
      </c>
      <c r="G216" t="s">
        <v>422</v>
      </c>
      <c r="K216" t="str" cm="1">
        <f t="array" ref="K216">IF(_xlfn.XLOOKUP(TRIM(A216),TRIM('Espai x esquema'!$A:$A),'Espai x esquema'!$E:$E,"",0)="Sí, però",
   "Sí",
   _xlfn.XLOOKUP(TRIM(A216),TRIM('Espai x esquema'!$A:$A),'Espai x esquema'!$E:$E,"",0))</f>
        <v>No</v>
      </c>
    </row>
    <row r="217" spans="1:11">
      <c r="A217" t="s">
        <v>495</v>
      </c>
      <c r="B217" t="s">
        <v>704</v>
      </c>
      <c r="C217">
        <v>360</v>
      </c>
      <c r="D217">
        <v>0.3515625</v>
      </c>
      <c r="E217" s="3" t="s">
        <v>6</v>
      </c>
      <c r="F217" t="s">
        <v>116</v>
      </c>
      <c r="G217" t="s">
        <v>422</v>
      </c>
      <c r="K217" t="str" cm="1">
        <f t="array" ref="K217">IF(_xlfn.XLOOKUP(TRIM(A217),TRIM('Espai x esquema'!$A:$A),'Espai x esquema'!$E:$E,"",0)="Sí, però",
   "Sí",
   _xlfn.XLOOKUP(TRIM(A217),TRIM('Espai x esquema'!$A:$A),'Espai x esquema'!$E:$E,"",0))</f>
        <v>No</v>
      </c>
    </row>
    <row r="218" spans="1:11">
      <c r="A218" t="s">
        <v>28</v>
      </c>
      <c r="B218" t="s">
        <v>705</v>
      </c>
      <c r="C218">
        <v>360</v>
      </c>
      <c r="D218">
        <f>new_212__3[[#This Row],[MBYTES]]/1024</f>
        <v>0.3515625</v>
      </c>
      <c r="E218" s="3" t="s">
        <v>8</v>
      </c>
      <c r="F218" t="s">
        <v>84</v>
      </c>
      <c r="G218" t="s">
        <v>706</v>
      </c>
      <c r="J218" t="s">
        <v>15</v>
      </c>
      <c r="K218" t="str" cm="1">
        <f t="array" ref="K218">IF(_xlfn.XLOOKUP(TRIM(A218),TRIM('Espai x esquema'!$A:$A),'Espai x esquema'!$E:$E,"",0)="Sí, però",
   "Sí",
   _xlfn.XLOOKUP(TRIM(A218),TRIM('Espai x esquema'!$A:$A),'Espai x esquema'!$E:$E,"",0))</f>
        <v>Sí</v>
      </c>
    </row>
    <row r="219" spans="1:11">
      <c r="A219" t="s">
        <v>707</v>
      </c>
      <c r="B219" t="s">
        <v>708</v>
      </c>
      <c r="C219">
        <v>352</v>
      </c>
      <c r="D219">
        <v>0.34375</v>
      </c>
      <c r="E219" s="3" t="s">
        <v>6</v>
      </c>
      <c r="F219" t="s">
        <v>116</v>
      </c>
      <c r="G219" t="s">
        <v>422</v>
      </c>
      <c r="K219" t="str" cm="1">
        <f t="array" ref="K219">IF(_xlfn.XLOOKUP(TRIM(A219),TRIM('Espai x esquema'!$A:$A),'Espai x esquema'!$E:$E,"",0)="Sí, però",
   "Sí",
   _xlfn.XLOOKUP(TRIM(A219),TRIM('Espai x esquema'!$A:$A),'Espai x esquema'!$E:$E,"",0))</f>
        <v>No</v>
      </c>
    </row>
    <row r="220" spans="1:11">
      <c r="A220" t="s">
        <v>30</v>
      </c>
      <c r="B220" t="s">
        <v>709</v>
      </c>
      <c r="C220">
        <v>352</v>
      </c>
      <c r="D220">
        <f>new_212__3[[#This Row],[MBYTES]]/1024</f>
        <v>0.34375</v>
      </c>
      <c r="E220" s="3" t="s">
        <v>6</v>
      </c>
      <c r="F220" t="s">
        <v>84</v>
      </c>
      <c r="H220" t="s">
        <v>440</v>
      </c>
      <c r="K220" t="str" cm="1">
        <f t="array" ref="K220">IF(_xlfn.XLOOKUP(TRIM(A220),TRIM('Espai x esquema'!$A:$A),'Espai x esquema'!$E:$E,"",0)="Sí, però",
   "Sí",
   _xlfn.XLOOKUP(TRIM(A220),TRIM('Espai x esquema'!$A:$A),'Espai x esquema'!$E:$E,"",0))</f>
        <v>No</v>
      </c>
    </row>
    <row r="221" spans="1:11">
      <c r="A221" t="s">
        <v>41</v>
      </c>
      <c r="B221" t="s">
        <v>522</v>
      </c>
      <c r="C221">
        <v>344</v>
      </c>
      <c r="D221">
        <v>0.3359375</v>
      </c>
      <c r="E221" s="3" t="s">
        <v>8</v>
      </c>
      <c r="F221" t="s">
        <v>116</v>
      </c>
      <c r="G221" t="s">
        <v>422</v>
      </c>
      <c r="H221" t="s">
        <v>694</v>
      </c>
      <c r="J221" t="s">
        <v>31</v>
      </c>
      <c r="K221" t="str" cm="1">
        <f t="array" ref="K221">IF(_xlfn.XLOOKUP(TRIM(A221),TRIM('Espai x esquema'!$A:$A),'Espai x esquema'!$E:$E,"",0)="Sí, però",
   "Sí",
   _xlfn.XLOOKUP(TRIM(A221),TRIM('Espai x esquema'!$A:$A),'Espai x esquema'!$E:$E,"",0))</f>
        <v>Sí</v>
      </c>
    </row>
    <row r="222" spans="1:11">
      <c r="A222" t="s">
        <v>560</v>
      </c>
      <c r="B222" t="s">
        <v>710</v>
      </c>
      <c r="C222">
        <v>344</v>
      </c>
      <c r="D222">
        <v>0.3359375</v>
      </c>
      <c r="E222" s="3" t="s">
        <v>6</v>
      </c>
      <c r="F222" t="s">
        <v>116</v>
      </c>
      <c r="G222" t="s">
        <v>422</v>
      </c>
      <c r="K222" t="str" cm="1">
        <f t="array" ref="K222">IF(_xlfn.XLOOKUP(TRIM(A222),TRIM('Espai x esquema'!$A:$A),'Espai x esquema'!$E:$E,"",0)="Sí, però",
   "Sí",
   _xlfn.XLOOKUP(TRIM(A222),TRIM('Espai x esquema'!$A:$A),'Espai x esquema'!$E:$E,"",0))</f>
        <v>No</v>
      </c>
    </row>
    <row r="223" spans="1:11">
      <c r="A223" t="s">
        <v>548</v>
      </c>
      <c r="B223" t="s">
        <v>711</v>
      </c>
      <c r="C223">
        <v>344</v>
      </c>
      <c r="D223">
        <f>new_212__3[[#This Row],[MBYTES]]/1024</f>
        <v>0.3359375</v>
      </c>
      <c r="E223" s="3" t="s">
        <v>6</v>
      </c>
      <c r="F223" t="s">
        <v>84</v>
      </c>
      <c r="G223" t="s">
        <v>550</v>
      </c>
      <c r="K223" t="str" cm="1">
        <f t="array" ref="K223">IF(_xlfn.XLOOKUP(TRIM(A223),TRIM('Espai x esquema'!$A:$A),'Espai x esquema'!$E:$E,"",0)="Sí, però",
   "Sí",
   _xlfn.XLOOKUP(TRIM(A223),TRIM('Espai x esquema'!$A:$A),'Espai x esquema'!$E:$E,"",0))</f>
        <v>No</v>
      </c>
    </row>
    <row r="224" spans="1:11">
      <c r="A224" t="s">
        <v>548</v>
      </c>
      <c r="B224" t="s">
        <v>712</v>
      </c>
      <c r="C224">
        <v>344</v>
      </c>
      <c r="D224">
        <f>new_212__3[[#This Row],[MBYTES]]/1024</f>
        <v>0.3359375</v>
      </c>
      <c r="E224" s="3" t="s">
        <v>6</v>
      </c>
      <c r="F224" t="s">
        <v>84</v>
      </c>
      <c r="G224" t="s">
        <v>713</v>
      </c>
      <c r="K224" t="str" cm="1">
        <f t="array" ref="K224">IF(_xlfn.XLOOKUP(TRIM(A224),TRIM('Espai x esquema'!$A:$A),'Espai x esquema'!$E:$E,"",0)="Sí, però",
   "Sí",
   _xlfn.XLOOKUP(TRIM(A224),TRIM('Espai x esquema'!$A:$A),'Espai x esquema'!$E:$E,"",0))</f>
        <v>No</v>
      </c>
    </row>
    <row r="225" spans="1:11">
      <c r="A225" t="s">
        <v>714</v>
      </c>
      <c r="B225" t="s">
        <v>715</v>
      </c>
      <c r="C225">
        <v>344</v>
      </c>
      <c r="D225">
        <f>new_212__3[[#This Row],[MBYTES]]/1024</f>
        <v>0.3359375</v>
      </c>
      <c r="E225" s="3" t="s">
        <v>6</v>
      </c>
      <c r="F225" t="s">
        <v>101</v>
      </c>
      <c r="G225" t="s">
        <v>668</v>
      </c>
      <c r="K225" t="str" cm="1">
        <f t="array" ref="K225">IF(_xlfn.XLOOKUP(TRIM(A225),TRIM('Espai x esquema'!$A:$A),'Espai x esquema'!$E:$E,"",0)="Sí, però",
   "Sí",
   _xlfn.XLOOKUP(TRIM(A225),TRIM('Espai x esquema'!$A:$A),'Espai x esquema'!$E:$E,"",0))</f>
        <v>No</v>
      </c>
    </row>
    <row r="226" spans="1:11">
      <c r="A226" t="s">
        <v>479</v>
      </c>
      <c r="B226" t="s">
        <v>716</v>
      </c>
      <c r="C226">
        <v>339</v>
      </c>
      <c r="D226">
        <f>new_212__3[[#This Row],[MBYTES]]/1024</f>
        <v>0.3310546875</v>
      </c>
      <c r="E226" s="3" t="s">
        <v>6</v>
      </c>
      <c r="F226" t="s">
        <v>84</v>
      </c>
      <c r="H226" t="s">
        <v>481</v>
      </c>
      <c r="K226" t="str" cm="1">
        <f t="array" ref="K226">IF(_xlfn.XLOOKUP(TRIM(A226),TRIM('Espai x esquema'!$A:$A),'Espai x esquema'!$E:$E,"",0)="Sí, però",
   "Sí",
   _xlfn.XLOOKUP(TRIM(A226),TRIM('Espai x esquema'!$A:$A),'Espai x esquema'!$E:$E,"",0))</f>
        <v>No</v>
      </c>
    </row>
    <row r="227" spans="1:11">
      <c r="A227" t="s">
        <v>521</v>
      </c>
      <c r="B227" t="s">
        <v>717</v>
      </c>
      <c r="C227">
        <v>337</v>
      </c>
      <c r="D227">
        <v>0.32910156299999999</v>
      </c>
      <c r="E227" s="3" t="s">
        <v>6</v>
      </c>
      <c r="F227" t="s">
        <v>116</v>
      </c>
      <c r="G227" t="s">
        <v>422</v>
      </c>
      <c r="K227" t="str" cm="1">
        <f t="array" ref="K227">IF(_xlfn.XLOOKUP(TRIM(A227),TRIM('Espai x esquema'!$A:$A),'Espai x esquema'!$E:$E,"",0)="Sí, però",
   "Sí",
   _xlfn.XLOOKUP(TRIM(A227),TRIM('Espai x esquema'!$A:$A),'Espai x esquema'!$E:$E,"",0))</f>
        <v>No</v>
      </c>
    </row>
    <row r="228" spans="1:11">
      <c r="A228" t="s">
        <v>495</v>
      </c>
      <c r="B228" t="s">
        <v>718</v>
      </c>
      <c r="C228">
        <v>336</v>
      </c>
      <c r="D228">
        <v>0.328125</v>
      </c>
      <c r="E228" s="3" t="s">
        <v>6</v>
      </c>
      <c r="F228" t="s">
        <v>116</v>
      </c>
      <c r="G228" t="s">
        <v>422</v>
      </c>
      <c r="K228" t="str" cm="1">
        <f t="array" ref="K228">IF(_xlfn.XLOOKUP(TRIM(A228),TRIM('Espai x esquema'!$A:$A),'Espai x esquema'!$E:$E,"",0)="Sí, però",
   "Sí",
   _xlfn.XLOOKUP(TRIM(A228),TRIM('Espai x esquema'!$A:$A),'Espai x esquema'!$E:$E,"",0))</f>
        <v>No</v>
      </c>
    </row>
    <row r="229" spans="1:11">
      <c r="A229" t="s">
        <v>507</v>
      </c>
      <c r="B229" t="s">
        <v>705</v>
      </c>
      <c r="C229">
        <v>336</v>
      </c>
      <c r="D229">
        <f>new_212__3[[#This Row],[MBYTES]]/1024</f>
        <v>0.328125</v>
      </c>
      <c r="E229" s="3" t="s">
        <v>6</v>
      </c>
      <c r="F229" t="s">
        <v>84</v>
      </c>
      <c r="G229" t="s">
        <v>428</v>
      </c>
      <c r="K229" t="str" cm="1">
        <f t="array" ref="K229">IF(_xlfn.XLOOKUP(TRIM(A229),TRIM('Espai x esquema'!$A:$A),'Espai x esquema'!$E:$E,"",0)="Sí, però",
   "Sí",
   _xlfn.XLOOKUP(TRIM(A229),TRIM('Espai x esquema'!$A:$A),'Espai x esquema'!$E:$E,"",0))</f>
        <v>No</v>
      </c>
    </row>
    <row r="230" spans="1:11">
      <c r="A230" t="s">
        <v>560</v>
      </c>
      <c r="B230" t="s">
        <v>719</v>
      </c>
      <c r="C230">
        <v>328</v>
      </c>
      <c r="D230">
        <v>0.3203125</v>
      </c>
      <c r="E230" s="3" t="s">
        <v>6</v>
      </c>
      <c r="F230" t="s">
        <v>116</v>
      </c>
      <c r="G230" t="s">
        <v>422</v>
      </c>
      <c r="K230" t="str" cm="1">
        <f t="array" ref="K230">IF(_xlfn.XLOOKUP(TRIM(A230),TRIM('Espai x esquema'!$A:$A),'Espai x esquema'!$E:$E,"",0)="Sí, però",
   "Sí",
   _xlfn.XLOOKUP(TRIM(A230),TRIM('Espai x esquema'!$A:$A),'Espai x esquema'!$E:$E,"",0))</f>
        <v>No</v>
      </c>
    </row>
    <row r="231" spans="1:11">
      <c r="A231" t="s">
        <v>17</v>
      </c>
      <c r="B231" t="s">
        <v>720</v>
      </c>
      <c r="C231">
        <v>328</v>
      </c>
      <c r="D231">
        <f>new_212__3[[#This Row],[MBYTES]]/1024</f>
        <v>0.3203125</v>
      </c>
      <c r="E231" s="3" t="s">
        <v>8</v>
      </c>
      <c r="F231" t="s">
        <v>84</v>
      </c>
      <c r="H231" t="s">
        <v>520</v>
      </c>
      <c r="J231" t="s">
        <v>5</v>
      </c>
      <c r="K231" t="str" cm="1">
        <f t="array" ref="K231">IF(_xlfn.XLOOKUP(TRIM(A231),TRIM('Espai x esquema'!$A:$A),'Espai x esquema'!$E:$E,"",0)="Sí, però",
   "Sí",
   _xlfn.XLOOKUP(TRIM(A231),TRIM('Espai x esquema'!$A:$A),'Espai x esquema'!$E:$E,"",0))</f>
        <v>??</v>
      </c>
    </row>
    <row r="232" spans="1:11">
      <c r="A232" t="s">
        <v>669</v>
      </c>
      <c r="B232" t="s">
        <v>721</v>
      </c>
      <c r="C232">
        <v>328</v>
      </c>
      <c r="D232">
        <f>new_212__3[[#This Row],[MBYTES]]/1024</f>
        <v>0.3203125</v>
      </c>
      <c r="E232" s="3" t="s">
        <v>5</v>
      </c>
      <c r="K232" t="str" cm="1">
        <f t="array" ref="K232">IF(_xlfn.XLOOKUP(TRIM(A232),TRIM('Espai x esquema'!$A:$A),'Espai x esquema'!$E:$E,"",0)="Sí, però",
   "Sí",
   _xlfn.XLOOKUP(TRIM(A232),TRIM('Espai x esquema'!$A:$A),'Espai x esquema'!$E:$E,"",0))</f>
        <v>??</v>
      </c>
    </row>
    <row r="233" spans="1:11">
      <c r="A233" t="s">
        <v>475</v>
      </c>
      <c r="B233" t="s">
        <v>722</v>
      </c>
      <c r="C233">
        <v>326</v>
      </c>
      <c r="D233">
        <v>0.318359375</v>
      </c>
      <c r="E233" s="3" t="s">
        <v>6</v>
      </c>
      <c r="F233" t="s">
        <v>116</v>
      </c>
      <c r="G233" t="s">
        <v>422</v>
      </c>
      <c r="H233" t="s">
        <v>488</v>
      </c>
      <c r="K233" t="str" cm="1">
        <f t="array" ref="K233">IF(_xlfn.XLOOKUP(TRIM(A233),TRIM('Espai x esquema'!$A:$A),'Espai x esquema'!$E:$E,"",0)="Sí, però",
   "Sí",
   _xlfn.XLOOKUP(TRIM(A233),TRIM('Espai x esquema'!$A:$A),'Espai x esquema'!$E:$E,"",0))</f>
        <v>No</v>
      </c>
    </row>
    <row r="234" spans="1:11">
      <c r="A234" t="s">
        <v>20</v>
      </c>
      <c r="B234" t="s">
        <v>723</v>
      </c>
      <c r="C234">
        <v>323</v>
      </c>
      <c r="D234">
        <f>new_212__3[[#This Row],[MBYTES]]/1024</f>
        <v>0.3154296875</v>
      </c>
      <c r="E234" s="3" t="s">
        <v>6</v>
      </c>
      <c r="F234" t="s">
        <v>84</v>
      </c>
      <c r="H234" t="s">
        <v>440</v>
      </c>
      <c r="K234" t="str" cm="1">
        <f t="array" ref="K234">IF(_xlfn.XLOOKUP(TRIM(A234),TRIM('Espai x esquema'!$A:$A),'Espai x esquema'!$E:$E,"",0)="Sí, però",
   "Sí",
   _xlfn.XLOOKUP(TRIM(A234),TRIM('Espai x esquema'!$A:$A),'Espai x esquema'!$E:$E,"",0))</f>
        <v>No</v>
      </c>
    </row>
    <row r="235" spans="1:11">
      <c r="A235" t="s">
        <v>441</v>
      </c>
      <c r="B235" t="s">
        <v>724</v>
      </c>
      <c r="C235">
        <v>321</v>
      </c>
      <c r="D235">
        <v>0.31347656299999999</v>
      </c>
      <c r="E235" s="3" t="s">
        <v>6</v>
      </c>
      <c r="F235" t="s">
        <v>116</v>
      </c>
      <c r="G235" t="s">
        <v>422</v>
      </c>
      <c r="K235" t="str" cm="1">
        <f t="array" ref="K235">IF(_xlfn.XLOOKUP(TRIM(A235),TRIM('Espai x esquema'!$A:$A),'Espai x esquema'!$E:$E,"",0)="Sí, però",
   "Sí",
   _xlfn.XLOOKUP(TRIM(A235),TRIM('Espai x esquema'!$A:$A),'Espai x esquema'!$E:$E,"",0))</f>
        <v>No</v>
      </c>
    </row>
    <row r="236" spans="1:11">
      <c r="A236" t="s">
        <v>513</v>
      </c>
      <c r="B236" t="s">
        <v>725</v>
      </c>
      <c r="C236">
        <v>320</v>
      </c>
      <c r="D236">
        <v>0.3125</v>
      </c>
      <c r="E236" s="3" t="s">
        <v>6</v>
      </c>
      <c r="F236" t="s">
        <v>116</v>
      </c>
      <c r="G236" t="s">
        <v>422</v>
      </c>
      <c r="K236" t="str" cm="1">
        <f t="array" ref="K236">IF(_xlfn.XLOOKUP(TRIM(A236),TRIM('Espai x esquema'!$A:$A),'Espai x esquema'!$E:$E,"",0)="Sí, però",
   "Sí",
   _xlfn.XLOOKUP(TRIM(A236),TRIM('Espai x esquema'!$A:$A),'Espai x esquema'!$E:$E,"",0))</f>
        <v>No</v>
      </c>
    </row>
    <row r="237" spans="1:11">
      <c r="A237" t="s">
        <v>726</v>
      </c>
      <c r="B237" t="s">
        <v>727</v>
      </c>
      <c r="C237">
        <v>320</v>
      </c>
      <c r="D237">
        <f>new_212__3[[#This Row],[MBYTES]]/1024</f>
        <v>0.3125</v>
      </c>
      <c r="E237" s="3" t="s">
        <v>5</v>
      </c>
      <c r="K237" t="str" cm="1">
        <f t="array" ref="K237">IF(_xlfn.XLOOKUP(TRIM(A237),TRIM('Espai x esquema'!$A:$A),'Espai x esquema'!$E:$E,"",0)="Sí, però",
   "Sí",
   _xlfn.XLOOKUP(TRIM(A237),TRIM('Espai x esquema'!$A:$A),'Espai x esquema'!$E:$E,"",0))</f>
        <v>NO</v>
      </c>
    </row>
    <row r="238" spans="1:11">
      <c r="A238" t="s">
        <v>475</v>
      </c>
      <c r="B238" t="s">
        <v>728</v>
      </c>
      <c r="C238">
        <v>317</v>
      </c>
      <c r="D238">
        <v>0.30957031299999999</v>
      </c>
      <c r="E238" s="3" t="s">
        <v>6</v>
      </c>
      <c r="F238" t="s">
        <v>116</v>
      </c>
      <c r="G238" t="s">
        <v>422</v>
      </c>
      <c r="H238" t="s">
        <v>488</v>
      </c>
      <c r="K238" t="str" cm="1">
        <f t="array" ref="K238">IF(_xlfn.XLOOKUP(TRIM(A238),TRIM('Espai x esquema'!$A:$A),'Espai x esquema'!$E:$E,"",0)="Sí, però",
   "Sí",
   _xlfn.XLOOKUP(TRIM(A238),TRIM('Espai x esquema'!$A:$A),'Espai x esquema'!$E:$E,"",0))</f>
        <v>No</v>
      </c>
    </row>
    <row r="239" spans="1:11">
      <c r="A239" t="s">
        <v>516</v>
      </c>
      <c r="B239" t="s">
        <v>729</v>
      </c>
      <c r="C239">
        <v>312</v>
      </c>
      <c r="D239">
        <f>new_212__3[[#This Row],[MBYTES]]/1024</f>
        <v>0.3046875</v>
      </c>
      <c r="E239" s="3" t="s">
        <v>6</v>
      </c>
      <c r="F239" t="s">
        <v>84</v>
      </c>
      <c r="G239" t="s">
        <v>428</v>
      </c>
      <c r="K239" t="str" cm="1">
        <f t="array" ref="K239">IF(_xlfn.XLOOKUP(TRIM(A239),TRIM('Espai x esquema'!$A:$A),'Espai x esquema'!$E:$E,"",0)="Sí, però",
   "Sí",
   _xlfn.XLOOKUP(TRIM(A239),TRIM('Espai x esquema'!$A:$A),'Espai x esquema'!$E:$E,"",0))</f>
        <v>No</v>
      </c>
    </row>
    <row r="240" spans="1:11">
      <c r="A240" t="s">
        <v>548</v>
      </c>
      <c r="B240" t="s">
        <v>730</v>
      </c>
      <c r="C240">
        <v>312</v>
      </c>
      <c r="D240">
        <f>new_212__3[[#This Row],[MBYTES]]/1024</f>
        <v>0.3046875</v>
      </c>
      <c r="E240" s="3" t="s">
        <v>6</v>
      </c>
      <c r="F240" t="s">
        <v>84</v>
      </c>
      <c r="G240" t="s">
        <v>550</v>
      </c>
      <c r="K240" t="str" cm="1">
        <f t="array" ref="K240">IF(_xlfn.XLOOKUP(TRIM(A240),TRIM('Espai x esquema'!$A:$A),'Espai x esquema'!$E:$E,"",0)="Sí, però",
   "Sí",
   _xlfn.XLOOKUP(TRIM(A240),TRIM('Espai x esquema'!$A:$A),'Espai x esquema'!$E:$E,"",0))</f>
        <v>No</v>
      </c>
    </row>
    <row r="241" spans="1:11">
      <c r="A241" t="s">
        <v>540</v>
      </c>
      <c r="B241" t="s">
        <v>731</v>
      </c>
      <c r="C241">
        <v>304</v>
      </c>
      <c r="D241">
        <v>0.296875</v>
      </c>
      <c r="E241" s="3" t="s">
        <v>6</v>
      </c>
      <c r="F241" t="s">
        <v>116</v>
      </c>
      <c r="G241" t="s">
        <v>422</v>
      </c>
      <c r="K241" t="str" cm="1">
        <f t="array" ref="K241">IF(_xlfn.XLOOKUP(TRIM(A241),TRIM('Espai x esquema'!$A:$A),'Espai x esquema'!$E:$E,"",0)="Sí, però",
   "Sí",
   _xlfn.XLOOKUP(TRIM(A241),TRIM('Espai x esquema'!$A:$A),'Espai x esquema'!$E:$E,"",0))</f>
        <v>Sí</v>
      </c>
    </row>
    <row r="242" spans="1:11">
      <c r="A242" t="s">
        <v>451</v>
      </c>
      <c r="B242" t="s">
        <v>732</v>
      </c>
      <c r="C242">
        <v>304</v>
      </c>
      <c r="D242">
        <f>new_212__3[[#This Row],[MBYTES]]/1024</f>
        <v>0.296875</v>
      </c>
      <c r="E242" s="3" t="s">
        <v>6</v>
      </c>
      <c r="F242" t="s">
        <v>84</v>
      </c>
      <c r="H242" t="s">
        <v>440</v>
      </c>
      <c r="K242" t="str" cm="1">
        <f t="array" ref="K242">IF(_xlfn.XLOOKUP(TRIM(A242),TRIM('Espai x esquema'!$A:$A),'Espai x esquema'!$E:$E,"",0)="Sí, però",
   "Sí",
   _xlfn.XLOOKUP(TRIM(A242),TRIM('Espai x esquema'!$A:$A),'Espai x esquema'!$E:$E,"",0))</f>
        <v>No</v>
      </c>
    </row>
    <row r="243" spans="1:11">
      <c r="A243" t="s">
        <v>451</v>
      </c>
      <c r="B243" t="s">
        <v>733</v>
      </c>
      <c r="C243">
        <v>304</v>
      </c>
      <c r="D243">
        <f>new_212__3[[#This Row],[MBYTES]]/1024</f>
        <v>0.296875</v>
      </c>
      <c r="E243" s="3" t="s">
        <v>6</v>
      </c>
      <c r="F243" t="s">
        <v>84</v>
      </c>
      <c r="H243" t="s">
        <v>440</v>
      </c>
      <c r="K243" t="str" cm="1">
        <f t="array" ref="K243">IF(_xlfn.XLOOKUP(TRIM(A243),TRIM('Espai x esquema'!$A:$A),'Espai x esquema'!$E:$E,"",0)="Sí, però",
   "Sí",
   _xlfn.XLOOKUP(TRIM(A243),TRIM('Espai x esquema'!$A:$A),'Espai x esquema'!$E:$E,"",0))</f>
        <v>No</v>
      </c>
    </row>
    <row r="244" spans="1:11">
      <c r="A244" t="s">
        <v>17</v>
      </c>
      <c r="B244" t="s">
        <v>734</v>
      </c>
      <c r="C244">
        <v>304</v>
      </c>
      <c r="D244">
        <f>new_212__3[[#This Row],[MBYTES]]/1024</f>
        <v>0.296875</v>
      </c>
      <c r="E244" s="3" t="s">
        <v>8</v>
      </c>
      <c r="F244" t="s">
        <v>84</v>
      </c>
      <c r="H244" t="s">
        <v>520</v>
      </c>
      <c r="J244" t="s">
        <v>5</v>
      </c>
      <c r="K244" t="str" cm="1">
        <f t="array" ref="K244">IF(_xlfn.XLOOKUP(TRIM(A244),TRIM('Espai x esquema'!$A:$A),'Espai x esquema'!$E:$E,"",0)="Sí, però",
   "Sí",
   _xlfn.XLOOKUP(TRIM(A244),TRIM('Espai x esquema'!$A:$A),'Espai x esquema'!$E:$E,"",0))</f>
        <v>??</v>
      </c>
    </row>
    <row r="245" spans="1:11">
      <c r="A245" t="s">
        <v>479</v>
      </c>
      <c r="B245" t="s">
        <v>735</v>
      </c>
      <c r="C245">
        <v>304</v>
      </c>
      <c r="D245">
        <f>new_212__3[[#This Row],[MBYTES]]/1024</f>
        <v>0.296875</v>
      </c>
      <c r="E245" s="3" t="s">
        <v>6</v>
      </c>
      <c r="F245" t="s">
        <v>84</v>
      </c>
      <c r="K245" t="str" cm="1">
        <f t="array" ref="K245">IF(_xlfn.XLOOKUP(TRIM(A245),TRIM('Espai x esquema'!$A:$A),'Espai x esquema'!$E:$E,"",0)="Sí, però",
   "Sí",
   _xlfn.XLOOKUP(TRIM(A245),TRIM('Espai x esquema'!$A:$A),'Espai x esquema'!$E:$E,"",0))</f>
        <v>No</v>
      </c>
    </row>
    <row r="246" spans="1:11">
      <c r="A246" t="s">
        <v>30</v>
      </c>
      <c r="B246" t="s">
        <v>736</v>
      </c>
      <c r="C246">
        <v>304</v>
      </c>
      <c r="D246">
        <f>new_212__3[[#This Row],[MBYTES]]/1024</f>
        <v>0.296875</v>
      </c>
      <c r="E246" s="3" t="s">
        <v>6</v>
      </c>
      <c r="F246" t="s">
        <v>84</v>
      </c>
      <c r="H246" t="s">
        <v>440</v>
      </c>
      <c r="K246" t="str" cm="1">
        <f t="array" ref="K246">IF(_xlfn.XLOOKUP(TRIM(A246),TRIM('Espai x esquema'!$A:$A),'Espai x esquema'!$E:$E,"",0)="Sí, però",
   "Sí",
   _xlfn.XLOOKUP(TRIM(A246),TRIM('Espai x esquema'!$A:$A),'Espai x esquema'!$E:$E,"",0))</f>
        <v>No</v>
      </c>
    </row>
    <row r="247" spans="1:11">
      <c r="A247" t="s">
        <v>737</v>
      </c>
      <c r="B247" t="s">
        <v>738</v>
      </c>
      <c r="C247">
        <v>304</v>
      </c>
      <c r="D247">
        <f>new_212__3[[#This Row],[MBYTES]]/1024</f>
        <v>0.296875</v>
      </c>
      <c r="E247" s="3" t="s">
        <v>5</v>
      </c>
      <c r="K247" t="str" cm="1">
        <f t="array" ref="K247">IF(_xlfn.XLOOKUP(TRIM(A247),TRIM('Espai x esquema'!$A:$A),'Espai x esquema'!$E:$E,"",0)="Sí, però",
   "Sí",
   _xlfn.XLOOKUP(TRIM(A247),TRIM('Espai x esquema'!$A:$A),'Espai x esquema'!$E:$E,"",0))</f>
        <v>??</v>
      </c>
    </row>
    <row r="248" spans="1:11">
      <c r="A248" t="s">
        <v>436</v>
      </c>
      <c r="B248" t="s">
        <v>739</v>
      </c>
      <c r="C248">
        <v>290</v>
      </c>
      <c r="D248">
        <v>0.283203125</v>
      </c>
      <c r="E248" s="3" t="s">
        <v>6</v>
      </c>
      <c r="F248" t="s">
        <v>116</v>
      </c>
      <c r="G248" t="s">
        <v>422</v>
      </c>
      <c r="H248" t="s">
        <v>504</v>
      </c>
      <c r="K248" t="str" cm="1">
        <f t="array" ref="K248">IF(_xlfn.XLOOKUP(TRIM(A248),TRIM('Espai x esquema'!$A:$A),'Espai x esquema'!$E:$E,"",0)="Sí, però",
   "Sí",
   _xlfn.XLOOKUP(TRIM(A248),TRIM('Espai x esquema'!$A:$A),'Espai x esquema'!$E:$E,"",0))</f>
        <v>No</v>
      </c>
    </row>
    <row r="249" spans="1:11">
      <c r="A249" t="s">
        <v>475</v>
      </c>
      <c r="B249" t="s">
        <v>740</v>
      </c>
      <c r="C249">
        <v>288</v>
      </c>
      <c r="D249">
        <v>0.28125</v>
      </c>
      <c r="E249" s="3" t="s">
        <v>6</v>
      </c>
      <c r="F249" t="s">
        <v>116</v>
      </c>
      <c r="G249" t="s">
        <v>422</v>
      </c>
      <c r="H249" t="s">
        <v>488</v>
      </c>
      <c r="K249" t="str" cm="1">
        <f t="array" ref="K249">IF(_xlfn.XLOOKUP(TRIM(A249),TRIM('Espai x esquema'!$A:$A),'Espai x esquema'!$E:$E,"",0)="Sí, però",
   "Sí",
   _xlfn.XLOOKUP(TRIM(A249),TRIM('Espai x esquema'!$A:$A),'Espai x esquema'!$E:$E,"",0))</f>
        <v>No</v>
      </c>
    </row>
    <row r="250" spans="1:11">
      <c r="A250" t="s">
        <v>420</v>
      </c>
      <c r="B250" t="s">
        <v>741</v>
      </c>
      <c r="C250">
        <v>288</v>
      </c>
      <c r="D250">
        <v>0.28125</v>
      </c>
      <c r="E250" s="3" t="s">
        <v>6</v>
      </c>
      <c r="F250" t="s">
        <v>116</v>
      </c>
      <c r="G250" t="s">
        <v>422</v>
      </c>
      <c r="K250" t="str" cm="1">
        <f t="array" ref="K250">IF(_xlfn.XLOOKUP(TRIM(A250),TRIM('Espai x esquema'!$A:$A),'Espai x esquema'!$E:$E,"",0)="Sí, però",
   "Sí",
   _xlfn.XLOOKUP(TRIM(A250),TRIM('Espai x esquema'!$A:$A),'Espai x esquema'!$E:$E,"",0))</f>
        <v>No</v>
      </c>
    </row>
    <row r="251" spans="1:11">
      <c r="A251" t="s">
        <v>30</v>
      </c>
      <c r="B251" t="s">
        <v>742</v>
      </c>
      <c r="C251">
        <v>288</v>
      </c>
      <c r="D251">
        <f>new_212__3[[#This Row],[MBYTES]]/1024</f>
        <v>0.28125</v>
      </c>
      <c r="E251" s="3" t="s">
        <v>6</v>
      </c>
      <c r="F251" t="s">
        <v>84</v>
      </c>
      <c r="H251" t="s">
        <v>440</v>
      </c>
      <c r="K251" t="str" cm="1">
        <f t="array" ref="K251">IF(_xlfn.XLOOKUP(TRIM(A251),TRIM('Espai x esquema'!$A:$A),'Espai x esquema'!$E:$E,"",0)="Sí, però",
   "Sí",
   _xlfn.XLOOKUP(TRIM(A251),TRIM('Espai x esquema'!$A:$A),'Espai x esquema'!$E:$E,"",0))</f>
        <v>No</v>
      </c>
    </row>
    <row r="252" spans="1:11">
      <c r="A252" t="s">
        <v>743</v>
      </c>
      <c r="B252" t="s">
        <v>744</v>
      </c>
      <c r="C252">
        <v>288</v>
      </c>
      <c r="D252">
        <f>new_212__3[[#This Row],[MBYTES]]/1024</f>
        <v>0.28125</v>
      </c>
      <c r="E252" s="3" t="s">
        <v>5</v>
      </c>
      <c r="K252" t="str" cm="1">
        <f t="array" ref="K252">IF(_xlfn.XLOOKUP(TRIM(A252),TRIM('Espai x esquema'!$A:$A),'Espai x esquema'!$E:$E,"",0)="Sí, però",
   "Sí",
   _xlfn.XLOOKUP(TRIM(A252),TRIM('Espai x esquema'!$A:$A),'Espai x esquema'!$E:$E,"",0))</f>
        <v>??</v>
      </c>
    </row>
    <row r="253" spans="1:11">
      <c r="A253" t="s">
        <v>745</v>
      </c>
      <c r="B253" t="s">
        <v>746</v>
      </c>
      <c r="C253">
        <v>280</v>
      </c>
      <c r="D253">
        <v>0.2734375</v>
      </c>
      <c r="E253" s="3" t="s">
        <v>6</v>
      </c>
      <c r="F253" t="s">
        <v>116</v>
      </c>
      <c r="G253" t="s">
        <v>422</v>
      </c>
      <c r="K253" t="str" cm="1">
        <f t="array" ref="K253">IF(_xlfn.XLOOKUP(TRIM(A253),TRIM('Espai x esquema'!$A:$A),'Espai x esquema'!$E:$E,"",0)="Sí, però",
   "Sí",
   _xlfn.XLOOKUP(TRIM(A253),TRIM('Espai x esquema'!$A:$A),'Espai x esquema'!$E:$E,"",0))</f>
        <v>No</v>
      </c>
    </row>
    <row r="254" spans="1:11">
      <c r="A254" t="s">
        <v>30</v>
      </c>
      <c r="B254" t="s">
        <v>747</v>
      </c>
      <c r="C254">
        <v>280</v>
      </c>
      <c r="D254">
        <f>new_212__3[[#This Row],[MBYTES]]/1024</f>
        <v>0.2734375</v>
      </c>
      <c r="E254" s="3" t="s">
        <v>6</v>
      </c>
      <c r="F254" t="s">
        <v>84</v>
      </c>
      <c r="H254" t="s">
        <v>440</v>
      </c>
      <c r="K254" t="str" cm="1">
        <f t="array" ref="K254">IF(_xlfn.XLOOKUP(TRIM(A254),TRIM('Espai x esquema'!$A:$A),'Espai x esquema'!$E:$E,"",0)="Sí, però",
   "Sí",
   _xlfn.XLOOKUP(TRIM(A254),TRIM('Espai x esquema'!$A:$A),'Espai x esquema'!$E:$E,"",0))</f>
        <v>No</v>
      </c>
    </row>
    <row r="255" spans="1:11">
      <c r="A255" t="s">
        <v>30</v>
      </c>
      <c r="B255" t="s">
        <v>748</v>
      </c>
      <c r="C255">
        <v>280</v>
      </c>
      <c r="D255">
        <f>new_212__3[[#This Row],[MBYTES]]/1024</f>
        <v>0.2734375</v>
      </c>
      <c r="E255" s="3" t="s">
        <v>6</v>
      </c>
      <c r="F255" t="s">
        <v>84</v>
      </c>
      <c r="H255" t="s">
        <v>440</v>
      </c>
      <c r="K255" t="str" cm="1">
        <f t="array" ref="K255">IF(_xlfn.XLOOKUP(TRIM(A255),TRIM('Espai x esquema'!$A:$A),'Espai x esquema'!$E:$E,"",0)="Sí, però",
   "Sí",
   _xlfn.XLOOKUP(TRIM(A255),TRIM('Espai x esquema'!$A:$A),'Espai x esquema'!$E:$E,"",0))</f>
        <v>No</v>
      </c>
    </row>
    <row r="256" spans="1:11">
      <c r="A256" t="s">
        <v>469</v>
      </c>
      <c r="B256" t="s">
        <v>749</v>
      </c>
      <c r="C256">
        <v>280</v>
      </c>
      <c r="D256">
        <f>new_212__3[[#This Row],[MBYTES]]/1024</f>
        <v>0.2734375</v>
      </c>
      <c r="E256" s="3" t="s">
        <v>6</v>
      </c>
      <c r="F256" t="s">
        <v>84</v>
      </c>
      <c r="K256" t="str" cm="1">
        <f t="array" ref="K256">IF(_xlfn.XLOOKUP(TRIM(A256),TRIM('Espai x esquema'!$A:$A),'Espai x esquema'!$E:$E,"",0)="Sí, però",
   "Sí",
   _xlfn.XLOOKUP(TRIM(A256),TRIM('Espai x esquema'!$A:$A),'Espai x esquema'!$E:$E,"",0))</f>
        <v>No</v>
      </c>
    </row>
    <row r="257" spans="1:11">
      <c r="A257" t="s">
        <v>507</v>
      </c>
      <c r="B257" t="s">
        <v>750</v>
      </c>
      <c r="C257">
        <v>280</v>
      </c>
      <c r="D257">
        <f>new_212__3[[#This Row],[MBYTES]]/1024</f>
        <v>0.2734375</v>
      </c>
      <c r="E257" s="3" t="s">
        <v>6</v>
      </c>
      <c r="F257" t="s">
        <v>84</v>
      </c>
      <c r="G257" t="s">
        <v>428</v>
      </c>
      <c r="K257" t="str" cm="1">
        <f t="array" ref="K257">IF(_xlfn.XLOOKUP(TRIM(A257),TRIM('Espai x esquema'!$A:$A),'Espai x esquema'!$E:$E,"",0)="Sí, però",
   "Sí",
   _xlfn.XLOOKUP(TRIM(A257),TRIM('Espai x esquema'!$A:$A),'Espai x esquema'!$E:$E,"",0))</f>
        <v>No</v>
      </c>
    </row>
    <row r="258" spans="1:11">
      <c r="A258" t="s">
        <v>737</v>
      </c>
      <c r="B258" t="s">
        <v>751</v>
      </c>
      <c r="C258">
        <v>280</v>
      </c>
      <c r="D258">
        <f>new_212__3[[#This Row],[MBYTES]]/1024</f>
        <v>0.2734375</v>
      </c>
      <c r="E258" s="3" t="s">
        <v>5</v>
      </c>
      <c r="K258" t="str" cm="1">
        <f t="array" ref="K258">IF(_xlfn.XLOOKUP(TRIM(A258),TRIM('Espai x esquema'!$A:$A),'Espai x esquema'!$E:$E,"",0)="Sí, però",
   "Sí",
   _xlfn.XLOOKUP(TRIM(A258),TRIM('Espai x esquema'!$A:$A),'Espai x esquema'!$E:$E,"",0))</f>
        <v>??</v>
      </c>
    </row>
    <row r="259" spans="1:11">
      <c r="A259" t="s">
        <v>685</v>
      </c>
      <c r="B259" t="s">
        <v>752</v>
      </c>
      <c r="C259">
        <v>272</v>
      </c>
      <c r="D259">
        <v>0.265625</v>
      </c>
      <c r="E259" s="3" t="s">
        <v>6</v>
      </c>
      <c r="F259" t="s">
        <v>116</v>
      </c>
      <c r="G259" t="s">
        <v>422</v>
      </c>
      <c r="K259" t="str" cm="1">
        <f t="array" ref="K259">IF(_xlfn.XLOOKUP(TRIM(A259),TRIM('Espai x esquema'!$A:$A),'Espai x esquema'!$E:$E,"",0)="Sí, però",
   "Sí",
   _xlfn.XLOOKUP(TRIM(A259),TRIM('Espai x esquema'!$A:$A),'Espai x esquema'!$E:$E,"",0))</f>
        <v>No</v>
      </c>
    </row>
    <row r="260" spans="1:11">
      <c r="A260" t="s">
        <v>32</v>
      </c>
      <c r="B260" t="s">
        <v>753</v>
      </c>
      <c r="C260">
        <v>272</v>
      </c>
      <c r="D260">
        <f>new_212__3[[#This Row],[MBYTES]]/1024</f>
        <v>0.265625</v>
      </c>
      <c r="E260" s="3" t="s">
        <v>6</v>
      </c>
      <c r="F260" t="s">
        <v>84</v>
      </c>
      <c r="G260" t="s">
        <v>428</v>
      </c>
      <c r="K260" t="str" cm="1">
        <f t="array" ref="K260">IF(_xlfn.XLOOKUP(TRIM(A260),TRIM('Espai x esquema'!$A:$A),'Espai x esquema'!$E:$E,"",0)="Sí, però",
   "Sí",
   _xlfn.XLOOKUP(TRIM(A260),TRIM('Espai x esquema'!$A:$A),'Espai x esquema'!$E:$E,"",0))</f>
        <v>No</v>
      </c>
    </row>
    <row r="261" spans="1:11">
      <c r="A261" t="s">
        <v>34</v>
      </c>
      <c r="B261" t="s">
        <v>754</v>
      </c>
      <c r="C261">
        <v>272</v>
      </c>
      <c r="D261">
        <f>new_212__3[[#This Row],[MBYTES]]/1024</f>
        <v>0.265625</v>
      </c>
      <c r="E261" s="3" t="s">
        <v>6</v>
      </c>
      <c r="F261" t="s">
        <v>84</v>
      </c>
      <c r="G261" t="s">
        <v>755</v>
      </c>
      <c r="K261" t="str" cm="1">
        <f t="array" ref="K261">IF(_xlfn.XLOOKUP(TRIM(A261),TRIM('Espai x esquema'!$A:$A),'Espai x esquema'!$E:$E,"",0)="Sí, però",
   "Sí",
   _xlfn.XLOOKUP(TRIM(A261),TRIM('Espai x esquema'!$A:$A),'Espai x esquema'!$E:$E,"",0))</f>
        <v>No</v>
      </c>
    </row>
    <row r="262" spans="1:11">
      <c r="A262" t="s">
        <v>507</v>
      </c>
      <c r="B262" t="s">
        <v>756</v>
      </c>
      <c r="C262">
        <v>272</v>
      </c>
      <c r="D262">
        <f>new_212__3[[#This Row],[MBYTES]]/1024</f>
        <v>0.265625</v>
      </c>
      <c r="E262" s="3" t="s">
        <v>6</v>
      </c>
      <c r="F262" t="s">
        <v>84</v>
      </c>
      <c r="G262" t="s">
        <v>428</v>
      </c>
      <c r="K262" t="str" cm="1">
        <f t="array" ref="K262">IF(_xlfn.XLOOKUP(TRIM(A262),TRIM('Espai x esquema'!$A:$A),'Espai x esquema'!$E:$E,"",0)="Sí, però",
   "Sí",
   _xlfn.XLOOKUP(TRIM(A262),TRIM('Espai x esquema'!$A:$A),'Espai x esquema'!$E:$E,"",0))</f>
        <v>No</v>
      </c>
    </row>
    <row r="263" spans="1:11">
      <c r="A263" t="s">
        <v>48</v>
      </c>
      <c r="B263" t="s">
        <v>757</v>
      </c>
      <c r="C263">
        <v>272</v>
      </c>
      <c r="D263">
        <f>new_212__3[[#This Row],[MBYTES]]/1024</f>
        <v>0.265625</v>
      </c>
      <c r="E263" s="3" t="s">
        <v>8</v>
      </c>
      <c r="F263" t="s">
        <v>101</v>
      </c>
      <c r="G263" s="4" t="s">
        <v>448</v>
      </c>
      <c r="H263" t="s">
        <v>449</v>
      </c>
      <c r="J263" t="s">
        <v>45</v>
      </c>
      <c r="K263" t="str" cm="1">
        <f t="array" ref="K263">IF(_xlfn.XLOOKUP(TRIM(A263),TRIM('Espai x esquema'!$A:$A),'Espai x esquema'!$E:$E,"",0)="Sí, però",
   "Sí",
   _xlfn.XLOOKUP(TRIM(A263),TRIM('Espai x esquema'!$A:$A),'Espai x esquema'!$E:$E,"",0))</f>
        <v>No</v>
      </c>
    </row>
    <row r="264" spans="1:11">
      <c r="A264" t="s">
        <v>441</v>
      </c>
      <c r="B264" t="s">
        <v>758</v>
      </c>
      <c r="C264">
        <v>265</v>
      </c>
      <c r="D264">
        <v>0.25878906299999999</v>
      </c>
      <c r="E264" s="3" t="s">
        <v>6</v>
      </c>
      <c r="F264" t="s">
        <v>116</v>
      </c>
      <c r="G264" t="s">
        <v>422</v>
      </c>
      <c r="K264" t="str" cm="1">
        <f t="array" ref="K264">IF(_xlfn.XLOOKUP(TRIM(A264),TRIM('Espai x esquema'!$A:$A),'Espai x esquema'!$E:$E,"",0)="Sí, però",
   "Sí",
   _xlfn.XLOOKUP(TRIM(A264),TRIM('Espai x esquema'!$A:$A),'Espai x esquema'!$E:$E,"",0))</f>
        <v>No</v>
      </c>
    </row>
    <row r="265" spans="1:11">
      <c r="A265" t="s">
        <v>707</v>
      </c>
      <c r="B265" t="s">
        <v>759</v>
      </c>
      <c r="C265">
        <v>264</v>
      </c>
      <c r="D265">
        <v>0.2578125</v>
      </c>
      <c r="E265" s="3" t="s">
        <v>6</v>
      </c>
      <c r="F265" t="s">
        <v>116</v>
      </c>
      <c r="G265" t="s">
        <v>422</v>
      </c>
      <c r="H265" t="s">
        <v>760</v>
      </c>
      <c r="K265" t="str" cm="1">
        <f t="array" ref="K265">IF(_xlfn.XLOOKUP(TRIM(A265),TRIM('Espai x esquema'!$A:$A),'Espai x esquema'!$E:$E,"",0)="Sí, però",
   "Sí",
   _xlfn.XLOOKUP(TRIM(A265),TRIM('Espai x esquema'!$A:$A),'Espai x esquema'!$E:$E,"",0))</f>
        <v>No</v>
      </c>
    </row>
    <row r="266" spans="1:11">
      <c r="A266" t="s">
        <v>20</v>
      </c>
      <c r="B266" t="s">
        <v>761</v>
      </c>
      <c r="C266">
        <v>264</v>
      </c>
      <c r="D266">
        <f>new_212__3[[#This Row],[MBYTES]]/1024</f>
        <v>0.2578125</v>
      </c>
      <c r="E266" s="3" t="s">
        <v>6</v>
      </c>
      <c r="F266" t="s">
        <v>84</v>
      </c>
      <c r="H266" t="s">
        <v>440</v>
      </c>
      <c r="K266" t="str" cm="1">
        <f t="array" ref="K266">IF(_xlfn.XLOOKUP(TRIM(A266),TRIM('Espai x esquema'!$A:$A),'Espai x esquema'!$E:$E,"",0)="Sí, però",
   "Sí",
   _xlfn.XLOOKUP(TRIM(A266),TRIM('Espai x esquema'!$A:$A),'Espai x esquema'!$E:$E,"",0))</f>
        <v>No</v>
      </c>
    </row>
    <row r="267" spans="1:11">
      <c r="A267" t="s">
        <v>22</v>
      </c>
      <c r="B267" t="s">
        <v>762</v>
      </c>
      <c r="C267">
        <v>264</v>
      </c>
      <c r="D267">
        <f>new_212__3[[#This Row],[MBYTES]]/1024</f>
        <v>0.2578125</v>
      </c>
      <c r="E267" s="3" t="s">
        <v>8</v>
      </c>
      <c r="F267" t="s">
        <v>84</v>
      </c>
      <c r="G267" t="s">
        <v>464</v>
      </c>
      <c r="J267" t="s">
        <v>15</v>
      </c>
      <c r="K267" t="str" cm="1">
        <f t="array" ref="K267">IF(_xlfn.XLOOKUP(TRIM(A267),TRIM('Espai x esquema'!$A:$A),'Espai x esquema'!$E:$E,"",0)="Sí, però",
   "Sí",
   _xlfn.XLOOKUP(TRIM(A267),TRIM('Espai x esquema'!$A:$A),'Espai x esquema'!$E:$E,"",0))</f>
        <v>No</v>
      </c>
    </row>
    <row r="268" spans="1:11">
      <c r="A268" t="s">
        <v>548</v>
      </c>
      <c r="B268" t="s">
        <v>763</v>
      </c>
      <c r="C268">
        <v>264</v>
      </c>
      <c r="D268">
        <f>new_212__3[[#This Row],[MBYTES]]/1024</f>
        <v>0.2578125</v>
      </c>
      <c r="E268" s="3" t="s">
        <v>6</v>
      </c>
      <c r="F268" t="s">
        <v>84</v>
      </c>
      <c r="G268" t="s">
        <v>550</v>
      </c>
      <c r="K268" t="str" cm="1">
        <f t="array" ref="K268">IF(_xlfn.XLOOKUP(TRIM(A268),TRIM('Espai x esquema'!$A:$A),'Espai x esquema'!$E:$E,"",0)="Sí, però",
   "Sí",
   _xlfn.XLOOKUP(TRIM(A268),TRIM('Espai x esquema'!$A:$A),'Espai x esquema'!$E:$E,"",0))</f>
        <v>No</v>
      </c>
    </row>
    <row r="269" spans="1:11">
      <c r="A269" t="s">
        <v>764</v>
      </c>
      <c r="B269" t="s">
        <v>765</v>
      </c>
      <c r="C269">
        <v>256</v>
      </c>
      <c r="D269">
        <v>0.25</v>
      </c>
      <c r="E269" s="3" t="s">
        <v>6</v>
      </c>
      <c r="F269" t="s">
        <v>116</v>
      </c>
      <c r="G269" t="s">
        <v>422</v>
      </c>
      <c r="K269" t="str" cm="1">
        <f t="array" ref="K269">IF(_xlfn.XLOOKUP(TRIM(A269),TRIM('Espai x esquema'!$A:$A),'Espai x esquema'!$E:$E,"",0)="Sí, però",
   "Sí",
   _xlfn.XLOOKUP(TRIM(A269),TRIM('Espai x esquema'!$A:$A),'Espai x esquema'!$E:$E,"",0))</f>
        <v>No</v>
      </c>
    </row>
    <row r="270" spans="1:11">
      <c r="A270" t="s">
        <v>685</v>
      </c>
      <c r="B270" t="s">
        <v>766</v>
      </c>
      <c r="C270">
        <v>256</v>
      </c>
      <c r="D270">
        <v>0.25</v>
      </c>
      <c r="E270" s="3" t="s">
        <v>6</v>
      </c>
      <c r="F270" t="s">
        <v>116</v>
      </c>
      <c r="G270" t="s">
        <v>422</v>
      </c>
      <c r="K270" t="str" cm="1">
        <f t="array" ref="K270">IF(_xlfn.XLOOKUP(TRIM(A270),TRIM('Espai x esquema'!$A:$A),'Espai x esquema'!$E:$E,"",0)="Sí, però",
   "Sí",
   _xlfn.XLOOKUP(TRIM(A270),TRIM('Espai x esquema'!$A:$A),'Espai x esquema'!$E:$E,"",0))</f>
        <v>No</v>
      </c>
    </row>
    <row r="271" spans="1:11">
      <c r="A271" t="s">
        <v>685</v>
      </c>
      <c r="B271" t="s">
        <v>767</v>
      </c>
      <c r="C271">
        <v>256</v>
      </c>
      <c r="D271">
        <v>0.25</v>
      </c>
      <c r="E271" s="3" t="s">
        <v>6</v>
      </c>
      <c r="F271" t="s">
        <v>116</v>
      </c>
      <c r="G271" t="s">
        <v>422</v>
      </c>
      <c r="K271" t="str" cm="1">
        <f t="array" ref="K271">IF(_xlfn.XLOOKUP(TRIM(A271),TRIM('Espai x esquema'!$A:$A),'Espai x esquema'!$E:$E,"",0)="Sí, però",
   "Sí",
   _xlfn.XLOOKUP(TRIM(A271),TRIM('Espai x esquema'!$A:$A),'Espai x esquema'!$E:$E,"",0))</f>
        <v>No</v>
      </c>
    </row>
    <row r="272" spans="1:11">
      <c r="A272" t="s">
        <v>22</v>
      </c>
      <c r="B272" t="s">
        <v>768</v>
      </c>
      <c r="C272">
        <v>256</v>
      </c>
      <c r="D272">
        <f>new_212__3[[#This Row],[MBYTES]]/1024</f>
        <v>0.25</v>
      </c>
      <c r="E272" s="3" t="s">
        <v>8</v>
      </c>
      <c r="F272" t="s">
        <v>84</v>
      </c>
      <c r="G272" t="s">
        <v>464</v>
      </c>
      <c r="J272" t="s">
        <v>15</v>
      </c>
      <c r="K272" t="str" cm="1">
        <f t="array" ref="K272">IF(_xlfn.XLOOKUP(TRIM(A272),TRIM('Espai x esquema'!$A:$A),'Espai x esquema'!$E:$E,"",0)="Sí, però",
   "Sí",
   _xlfn.XLOOKUP(TRIM(A272),TRIM('Espai x esquema'!$A:$A),'Espai x esquema'!$E:$E,"",0))</f>
        <v>No</v>
      </c>
    </row>
    <row r="273" spans="1:11">
      <c r="A273" t="s">
        <v>769</v>
      </c>
      <c r="B273" t="s">
        <v>770</v>
      </c>
      <c r="C273">
        <v>256</v>
      </c>
      <c r="D273">
        <f>new_212__3[[#This Row],[MBYTES]]/1024</f>
        <v>0.25</v>
      </c>
      <c r="E273" s="3" t="s">
        <v>6</v>
      </c>
      <c r="F273" t="s">
        <v>84</v>
      </c>
      <c r="G273" t="s">
        <v>428</v>
      </c>
      <c r="K273" t="str" cm="1">
        <f t="array" ref="K273">IF(_xlfn.XLOOKUP(TRIM(A273),TRIM('Espai x esquema'!$A:$A),'Espai x esquema'!$E:$E,"",0)="Sí, però",
   "Sí",
   _xlfn.XLOOKUP(TRIM(A273),TRIM('Espai x esquema'!$A:$A),'Espai x esquema'!$E:$E,"",0))</f>
        <v>No</v>
      </c>
    </row>
    <row r="274" spans="1:11">
      <c r="A274" t="s">
        <v>17</v>
      </c>
      <c r="B274" t="s">
        <v>771</v>
      </c>
      <c r="C274">
        <v>256</v>
      </c>
      <c r="D274">
        <f>new_212__3[[#This Row],[MBYTES]]/1024</f>
        <v>0.25</v>
      </c>
      <c r="E274" s="3" t="s">
        <v>8</v>
      </c>
      <c r="F274" t="s">
        <v>84</v>
      </c>
      <c r="H274" t="s">
        <v>520</v>
      </c>
      <c r="J274" t="s">
        <v>5</v>
      </c>
      <c r="K274" t="str" cm="1">
        <f t="array" ref="K274">IF(_xlfn.XLOOKUP(TRIM(A274),TRIM('Espai x esquema'!$A:$A),'Espai x esquema'!$E:$E,"",0)="Sí, però",
   "Sí",
   _xlfn.XLOOKUP(TRIM(A274),TRIM('Espai x esquema'!$A:$A),'Espai x esquema'!$E:$E,"",0))</f>
        <v>??</v>
      </c>
    </row>
    <row r="275" spans="1:11">
      <c r="A275" t="s">
        <v>32</v>
      </c>
      <c r="B275" t="s">
        <v>772</v>
      </c>
      <c r="C275">
        <v>256</v>
      </c>
      <c r="D275">
        <f>new_212__3[[#This Row],[MBYTES]]/1024</f>
        <v>0.25</v>
      </c>
      <c r="E275" s="3" t="s">
        <v>6</v>
      </c>
      <c r="F275" t="s">
        <v>84</v>
      </c>
      <c r="G275" t="s">
        <v>428</v>
      </c>
      <c r="K275" t="str" cm="1">
        <f t="array" ref="K275">IF(_xlfn.XLOOKUP(TRIM(A275),TRIM('Espai x esquema'!$A:$A),'Espai x esquema'!$E:$E,"",0)="Sí, però",
   "Sí",
   _xlfn.XLOOKUP(TRIM(A275),TRIM('Espai x esquema'!$A:$A),'Espai x esquema'!$E:$E,"",0))</f>
        <v>No</v>
      </c>
    </row>
    <row r="276" spans="1:11">
      <c r="A276" t="s">
        <v>469</v>
      </c>
      <c r="B276" t="s">
        <v>773</v>
      </c>
      <c r="C276">
        <v>256</v>
      </c>
      <c r="D276">
        <f>new_212__3[[#This Row],[MBYTES]]/1024</f>
        <v>0.25</v>
      </c>
      <c r="E276" s="3" t="s">
        <v>6</v>
      </c>
      <c r="F276" t="s">
        <v>84</v>
      </c>
      <c r="K276" t="str" cm="1">
        <f t="array" ref="K276">IF(_xlfn.XLOOKUP(TRIM(A276),TRIM('Espai x esquema'!$A:$A),'Espai x esquema'!$E:$E,"",0)="Sí, però",
   "Sí",
   _xlfn.XLOOKUP(TRIM(A276),TRIM('Espai x esquema'!$A:$A),'Espai x esquema'!$E:$E,"",0))</f>
        <v>No</v>
      </c>
    </row>
    <row r="277" spans="1:11">
      <c r="A277" t="s">
        <v>425</v>
      </c>
      <c r="B277" t="s">
        <v>774</v>
      </c>
      <c r="C277">
        <v>256</v>
      </c>
      <c r="D277">
        <f>new_212__3[[#This Row],[MBYTES]]/1024</f>
        <v>0.25</v>
      </c>
      <c r="E277" s="3" t="s">
        <v>6</v>
      </c>
      <c r="F277" t="s">
        <v>84</v>
      </c>
      <c r="G277" t="s">
        <v>426</v>
      </c>
      <c r="K277" t="str" cm="1">
        <f t="array" ref="K277">IF(_xlfn.XLOOKUP(TRIM(A277),TRIM('Espai x esquema'!$A:$A),'Espai x esquema'!$E:$E,"",0)="Sí, però",
   "Sí",
   _xlfn.XLOOKUP(TRIM(A277),TRIM('Espai x esquema'!$A:$A),'Espai x esquema'!$E:$E,"",0))</f>
        <v>No</v>
      </c>
    </row>
    <row r="278" spans="1:11">
      <c r="A278" t="s">
        <v>775</v>
      </c>
      <c r="B278" t="s">
        <v>776</v>
      </c>
      <c r="C278">
        <v>256</v>
      </c>
      <c r="D278">
        <f>new_212__3[[#This Row],[MBYTES]]/1024</f>
        <v>0.25</v>
      </c>
      <c r="E278" s="3" t="s">
        <v>6</v>
      </c>
      <c r="F278" t="s">
        <v>84</v>
      </c>
      <c r="K278" t="str" cm="1">
        <f t="array" ref="K278">IF(_xlfn.XLOOKUP(TRIM(A278),TRIM('Espai x esquema'!$A:$A),'Espai x esquema'!$E:$E,"",0)="Sí, però",
   "Sí",
   _xlfn.XLOOKUP(TRIM(A278),TRIM('Espai x esquema'!$A:$A),'Espai x esquema'!$E:$E,"",0))</f>
        <v>No</v>
      </c>
    </row>
    <row r="279" spans="1:11">
      <c r="A279" t="s">
        <v>685</v>
      </c>
      <c r="B279" t="s">
        <v>777</v>
      </c>
      <c r="C279">
        <v>255</v>
      </c>
      <c r="D279">
        <v>0.24902343800000001</v>
      </c>
      <c r="E279" s="3" t="s">
        <v>6</v>
      </c>
      <c r="F279" t="s">
        <v>116</v>
      </c>
      <c r="G279" t="s">
        <v>422</v>
      </c>
      <c r="K279" t="str" cm="1">
        <f t="array" ref="K279">IF(_xlfn.XLOOKUP(TRIM(A279),TRIM('Espai x esquema'!$A:$A),'Espai x esquema'!$E:$E,"",0)="Sí, però",
   "Sí",
   _xlfn.XLOOKUP(TRIM(A279),TRIM('Espai x esquema'!$A:$A),'Espai x esquema'!$E:$E,"",0))</f>
        <v>No</v>
      </c>
    </row>
    <row r="280" spans="1:11">
      <c r="A280" t="s">
        <v>658</v>
      </c>
      <c r="B280" t="s">
        <v>778</v>
      </c>
      <c r="C280">
        <v>248</v>
      </c>
      <c r="D280">
        <v>0.2421875</v>
      </c>
      <c r="E280" s="3" t="s">
        <v>6</v>
      </c>
      <c r="F280" t="s">
        <v>116</v>
      </c>
      <c r="G280" t="s">
        <v>422</v>
      </c>
      <c r="K280" t="str" cm="1">
        <f t="array" ref="K280">IF(_xlfn.XLOOKUP(TRIM(A280),TRIM('Espai x esquema'!$A:$A),'Espai x esquema'!$E:$E,"",0)="Sí, però",
   "Sí",
   _xlfn.XLOOKUP(TRIM(A280),TRIM('Espai x esquema'!$A:$A),'Espai x esquema'!$E:$E,"",0))</f>
        <v>No</v>
      </c>
    </row>
    <row r="281" spans="1:11">
      <c r="A281" t="s">
        <v>405</v>
      </c>
      <c r="B281" t="s">
        <v>779</v>
      </c>
      <c r="C281">
        <v>248</v>
      </c>
      <c r="D281">
        <f>new_212__3[[#This Row],[MBYTES]]/1024</f>
        <v>0.2421875</v>
      </c>
      <c r="E281" s="3" t="s">
        <v>6</v>
      </c>
      <c r="F281" t="s">
        <v>84</v>
      </c>
      <c r="H281" t="s">
        <v>440</v>
      </c>
      <c r="K281" t="str" cm="1">
        <f t="array" ref="K281">IF(_xlfn.XLOOKUP(TRIM(A281),TRIM('Espai x esquema'!$A:$A),'Espai x esquema'!$E:$E,"",0)="Sí, però",
   "Sí",
   _xlfn.XLOOKUP(TRIM(A281),TRIM('Espai x esquema'!$A:$A),'Espai x esquema'!$E:$E,"",0))</f>
        <v>No</v>
      </c>
    </row>
    <row r="282" spans="1:11">
      <c r="A282" t="s">
        <v>472</v>
      </c>
      <c r="B282" t="s">
        <v>780</v>
      </c>
      <c r="C282">
        <v>248</v>
      </c>
      <c r="D282">
        <f>new_212__3[[#This Row],[MBYTES]]/1024</f>
        <v>0.2421875</v>
      </c>
      <c r="E282" s="3" t="s">
        <v>6</v>
      </c>
      <c r="F282" t="s">
        <v>84</v>
      </c>
      <c r="G282" t="s">
        <v>417</v>
      </c>
      <c r="K282" t="str" cm="1">
        <f t="array" ref="K282">IF(_xlfn.XLOOKUP(TRIM(A282),TRIM('Espai x esquema'!$A:$A),'Espai x esquema'!$E:$E,"",0)="Sí, però",
   "Sí",
   _xlfn.XLOOKUP(TRIM(A282),TRIM('Espai x esquema'!$A:$A),'Espai x esquema'!$E:$E,"",0))</f>
        <v>No</v>
      </c>
    </row>
    <row r="283" spans="1:11">
      <c r="A283" t="s">
        <v>469</v>
      </c>
      <c r="B283" t="s">
        <v>781</v>
      </c>
      <c r="C283">
        <v>248</v>
      </c>
      <c r="D283">
        <f>new_212__3[[#This Row],[MBYTES]]/1024</f>
        <v>0.2421875</v>
      </c>
      <c r="E283" s="3" t="s">
        <v>6</v>
      </c>
      <c r="F283" t="s">
        <v>84</v>
      </c>
      <c r="K283" t="str" cm="1">
        <f t="array" ref="K283">IF(_xlfn.XLOOKUP(TRIM(A283),TRIM('Espai x esquema'!$A:$A),'Espai x esquema'!$E:$E,"",0)="Sí, però",
   "Sí",
   _xlfn.XLOOKUP(TRIM(A283),TRIM('Espai x esquema'!$A:$A),'Espai x esquema'!$E:$E,"",0))</f>
        <v>No</v>
      </c>
    </row>
    <row r="284" spans="1:11">
      <c r="A284" t="s">
        <v>469</v>
      </c>
      <c r="B284" t="s">
        <v>782</v>
      </c>
      <c r="C284">
        <v>248</v>
      </c>
      <c r="D284">
        <f>new_212__3[[#This Row],[MBYTES]]/1024</f>
        <v>0.2421875</v>
      </c>
      <c r="E284" s="3" t="s">
        <v>6</v>
      </c>
      <c r="F284" t="s">
        <v>84</v>
      </c>
      <c r="K284" t="str" cm="1">
        <f t="array" ref="K284">IF(_xlfn.XLOOKUP(TRIM(A284),TRIM('Espai x esquema'!$A:$A),'Espai x esquema'!$E:$E,"",0)="Sí, però",
   "Sí",
   _xlfn.XLOOKUP(TRIM(A284),TRIM('Espai x esquema'!$A:$A),'Espai x esquema'!$E:$E,"",0))</f>
        <v>No</v>
      </c>
    </row>
    <row r="285" spans="1:11">
      <c r="A285" t="s">
        <v>507</v>
      </c>
      <c r="B285" t="s">
        <v>783</v>
      </c>
      <c r="C285">
        <v>248</v>
      </c>
      <c r="D285">
        <f>new_212__3[[#This Row],[MBYTES]]/1024</f>
        <v>0.2421875</v>
      </c>
      <c r="E285" s="3" t="s">
        <v>6</v>
      </c>
      <c r="F285" t="s">
        <v>84</v>
      </c>
      <c r="G285" t="s">
        <v>428</v>
      </c>
      <c r="K285" t="str" cm="1">
        <f t="array" ref="K285">IF(_xlfn.XLOOKUP(TRIM(A285),TRIM('Espai x esquema'!$A:$A),'Espai x esquema'!$E:$E,"",0)="Sí, però",
   "Sí",
   _xlfn.XLOOKUP(TRIM(A285),TRIM('Espai x esquema'!$A:$A),'Espai x esquema'!$E:$E,"",0))</f>
        <v>No</v>
      </c>
    </row>
    <row r="286" spans="1:11">
      <c r="A286" t="s">
        <v>52</v>
      </c>
      <c r="B286" t="s">
        <v>408</v>
      </c>
      <c r="C286">
        <v>248</v>
      </c>
      <c r="D286">
        <f>new_212__3[[#This Row],[MBYTES]]/1024</f>
        <v>0.2421875</v>
      </c>
      <c r="E286" s="3" t="s">
        <v>8</v>
      </c>
      <c r="F286" t="s">
        <v>101</v>
      </c>
      <c r="G286" s="4" t="s">
        <v>784</v>
      </c>
      <c r="H286" t="s">
        <v>785</v>
      </c>
      <c r="J286" t="s">
        <v>50</v>
      </c>
      <c r="K286" t="str" cm="1">
        <f t="array" ref="K286">IF(_xlfn.XLOOKUP(TRIM(A286),TRIM('Espai x esquema'!$A:$A),'Espai x esquema'!$E:$E,"",0)="Sí, però",
   "Sí",
   _xlfn.XLOOKUP(TRIM(A286),TRIM('Espai x esquema'!$A:$A),'Espai x esquema'!$E:$E,"",0))</f>
        <v>No</v>
      </c>
    </row>
    <row r="287" spans="1:11">
      <c r="A287" t="s">
        <v>685</v>
      </c>
      <c r="B287" t="s">
        <v>786</v>
      </c>
      <c r="C287">
        <v>240</v>
      </c>
      <c r="D287">
        <v>0.234375</v>
      </c>
      <c r="E287" s="3" t="s">
        <v>6</v>
      </c>
      <c r="F287" t="s">
        <v>116</v>
      </c>
      <c r="G287" t="s">
        <v>422</v>
      </c>
      <c r="K287" t="str" cm="1">
        <f t="array" ref="K287">IF(_xlfn.XLOOKUP(TRIM(A287),TRIM('Espai x esquema'!$A:$A),'Espai x esquema'!$E:$E,"",0)="Sí, però",
   "Sí",
   _xlfn.XLOOKUP(TRIM(A287),TRIM('Espai x esquema'!$A:$A),'Espai x esquema'!$E:$E,"",0))</f>
        <v>No</v>
      </c>
    </row>
    <row r="288" spans="1:11">
      <c r="A288" t="s">
        <v>548</v>
      </c>
      <c r="B288" t="s">
        <v>787</v>
      </c>
      <c r="C288">
        <v>240</v>
      </c>
      <c r="D288">
        <f>new_212__3[[#This Row],[MBYTES]]/1024</f>
        <v>0.234375</v>
      </c>
      <c r="E288" s="3" t="s">
        <v>6</v>
      </c>
      <c r="F288" t="s">
        <v>84</v>
      </c>
      <c r="G288" t="s">
        <v>550</v>
      </c>
      <c r="K288" t="str" cm="1">
        <f t="array" ref="K288">IF(_xlfn.XLOOKUP(TRIM(A288),TRIM('Espai x esquema'!$A:$A),'Espai x esquema'!$E:$E,"",0)="Sí, però",
   "Sí",
   _xlfn.XLOOKUP(TRIM(A288),TRIM('Espai x esquema'!$A:$A),'Espai x esquema'!$E:$E,"",0))</f>
        <v>No</v>
      </c>
    </row>
    <row r="289" spans="1:11">
      <c r="A289" t="s">
        <v>469</v>
      </c>
      <c r="B289" t="s">
        <v>788</v>
      </c>
      <c r="C289">
        <v>240</v>
      </c>
      <c r="D289">
        <f>new_212__3[[#This Row],[MBYTES]]/1024</f>
        <v>0.234375</v>
      </c>
      <c r="E289" s="3" t="s">
        <v>6</v>
      </c>
      <c r="F289" t="s">
        <v>84</v>
      </c>
      <c r="K289" t="str" cm="1">
        <f t="array" ref="K289">IF(_xlfn.XLOOKUP(TRIM(A289),TRIM('Espai x esquema'!$A:$A),'Espai x esquema'!$E:$E,"",0)="Sí, però",
   "Sí",
   _xlfn.XLOOKUP(TRIM(A289),TRIM('Espai x esquema'!$A:$A),'Espai x esquema'!$E:$E,"",0))</f>
        <v>No</v>
      </c>
    </row>
    <row r="290" spans="1:11">
      <c r="A290" t="s">
        <v>507</v>
      </c>
      <c r="B290" t="s">
        <v>789</v>
      </c>
      <c r="C290">
        <v>240</v>
      </c>
      <c r="D290">
        <f>new_212__3[[#This Row],[MBYTES]]/1024</f>
        <v>0.234375</v>
      </c>
      <c r="E290" s="3" t="s">
        <v>6</v>
      </c>
      <c r="F290" t="s">
        <v>84</v>
      </c>
      <c r="G290" t="s">
        <v>428</v>
      </c>
      <c r="K290" t="str" cm="1">
        <f t="array" ref="K290">IF(_xlfn.XLOOKUP(TRIM(A290),TRIM('Espai x esquema'!$A:$A),'Espai x esquema'!$E:$E,"",0)="Sí, però",
   "Sí",
   _xlfn.XLOOKUP(TRIM(A290),TRIM('Espai x esquema'!$A:$A),'Espai x esquema'!$E:$E,"",0))</f>
        <v>No</v>
      </c>
    </row>
    <row r="291" spans="1:11">
      <c r="A291" t="s">
        <v>509</v>
      </c>
      <c r="B291" t="s">
        <v>790</v>
      </c>
      <c r="C291">
        <v>232</v>
      </c>
      <c r="D291">
        <f>new_212__3[[#This Row],[MBYTES]]/1024</f>
        <v>0.2265625</v>
      </c>
      <c r="E291" s="3" t="s">
        <v>6</v>
      </c>
      <c r="F291" t="s">
        <v>84</v>
      </c>
      <c r="K291" t="str" cm="1">
        <f t="array" ref="K291">IF(_xlfn.XLOOKUP(TRIM(A291),TRIM('Espai x esquema'!$A:$A),'Espai x esquema'!$E:$E,"",0)="Sí, però",
   "Sí",
   _xlfn.XLOOKUP(TRIM(A291),TRIM('Espai x esquema'!$A:$A),'Espai x esquema'!$E:$E,"",0))</f>
        <v>??</v>
      </c>
    </row>
    <row r="292" spans="1:11">
      <c r="A292" t="s">
        <v>516</v>
      </c>
      <c r="B292" t="s">
        <v>791</v>
      </c>
      <c r="C292">
        <v>232</v>
      </c>
      <c r="D292">
        <f>new_212__3[[#This Row],[MBYTES]]/1024</f>
        <v>0.2265625</v>
      </c>
      <c r="E292" s="3" t="s">
        <v>6</v>
      </c>
      <c r="F292" t="s">
        <v>84</v>
      </c>
      <c r="G292" t="s">
        <v>428</v>
      </c>
      <c r="K292" t="str" cm="1">
        <f t="array" ref="K292">IF(_xlfn.XLOOKUP(TRIM(A292),TRIM('Espai x esquema'!$A:$A),'Espai x esquema'!$E:$E,"",0)="Sí, però",
   "Sí",
   _xlfn.XLOOKUP(TRIM(A292),TRIM('Espai x esquema'!$A:$A),'Espai x esquema'!$E:$E,"",0))</f>
        <v>No</v>
      </c>
    </row>
    <row r="293" spans="1:11">
      <c r="A293" t="s">
        <v>665</v>
      </c>
      <c r="B293" t="s">
        <v>792</v>
      </c>
      <c r="C293">
        <v>232</v>
      </c>
      <c r="D293">
        <f>new_212__3[[#This Row],[MBYTES]]/1024</f>
        <v>0.2265625</v>
      </c>
      <c r="E293" s="3" t="s">
        <v>6</v>
      </c>
      <c r="F293" t="s">
        <v>84</v>
      </c>
      <c r="G293" t="s">
        <v>428</v>
      </c>
      <c r="K293" t="str" cm="1">
        <f t="array" ref="K293">IF(_xlfn.XLOOKUP(TRIM(A293),TRIM('Espai x esquema'!$A:$A),'Espai x esquema'!$E:$E,"",0)="Sí, però",
   "Sí",
   _xlfn.XLOOKUP(TRIM(A293),TRIM('Espai x esquema'!$A:$A),'Espai x esquema'!$E:$E,"",0))</f>
        <v>No</v>
      </c>
    </row>
    <row r="294" spans="1:11">
      <c r="A294" t="s">
        <v>30</v>
      </c>
      <c r="B294" t="s">
        <v>793</v>
      </c>
      <c r="C294">
        <v>232</v>
      </c>
      <c r="D294">
        <f>new_212__3[[#This Row],[MBYTES]]/1024</f>
        <v>0.2265625</v>
      </c>
      <c r="E294" s="3" t="s">
        <v>6</v>
      </c>
      <c r="F294" t="s">
        <v>84</v>
      </c>
      <c r="H294" t="s">
        <v>440</v>
      </c>
      <c r="K294" t="str" cm="1">
        <f t="array" ref="K294">IF(_xlfn.XLOOKUP(TRIM(A294),TRIM('Espai x esquema'!$A:$A),'Espai x esquema'!$E:$E,"",0)="Sí, però",
   "Sí",
   _xlfn.XLOOKUP(TRIM(A294),TRIM('Espai x esquema'!$A:$A),'Espai x esquema'!$E:$E,"",0))</f>
        <v>No</v>
      </c>
    </row>
    <row r="295" spans="1:11">
      <c r="A295" t="s">
        <v>34</v>
      </c>
      <c r="B295" t="s">
        <v>794</v>
      </c>
      <c r="C295">
        <v>232</v>
      </c>
      <c r="D295">
        <f>new_212__3[[#This Row],[MBYTES]]/1024</f>
        <v>0.2265625</v>
      </c>
      <c r="E295" s="3" t="s">
        <v>6</v>
      </c>
      <c r="F295" t="s">
        <v>84</v>
      </c>
      <c r="G295" t="s">
        <v>428</v>
      </c>
      <c r="K295" t="str" cm="1">
        <f t="array" ref="K295">IF(_xlfn.XLOOKUP(TRIM(A295),TRIM('Espai x esquema'!$A:$A),'Espai x esquema'!$E:$E,"",0)="Sí, però",
   "Sí",
   _xlfn.XLOOKUP(TRIM(A295),TRIM('Espai x esquema'!$A:$A),'Espai x esquema'!$E:$E,"",0))</f>
        <v>No</v>
      </c>
    </row>
    <row r="296" spans="1:11">
      <c r="A296" t="s">
        <v>485</v>
      </c>
      <c r="B296" t="s">
        <v>795</v>
      </c>
      <c r="C296">
        <v>232</v>
      </c>
      <c r="D296">
        <f>new_212__3[[#This Row],[MBYTES]]/1024</f>
        <v>0.2265625</v>
      </c>
      <c r="E296" s="3" t="s">
        <v>6</v>
      </c>
      <c r="F296" t="s">
        <v>84</v>
      </c>
      <c r="K296" t="str" cm="1">
        <f t="array" ref="K296">IF(_xlfn.XLOOKUP(TRIM(A296),TRIM('Espai x esquema'!$A:$A),'Espai x esquema'!$E:$E,"",0)="Sí, però",
   "Sí",
   _xlfn.XLOOKUP(TRIM(A296),TRIM('Espai x esquema'!$A:$A),'Espai x esquema'!$E:$E,"",0))</f>
        <v>No</v>
      </c>
    </row>
    <row r="297" spans="1:11">
      <c r="A297" t="s">
        <v>48</v>
      </c>
      <c r="B297" t="s">
        <v>796</v>
      </c>
      <c r="C297">
        <v>232</v>
      </c>
      <c r="D297">
        <f>new_212__3[[#This Row],[MBYTES]]/1024</f>
        <v>0.2265625</v>
      </c>
      <c r="E297" s="3" t="s">
        <v>8</v>
      </c>
      <c r="F297" t="s">
        <v>101</v>
      </c>
      <c r="G297" s="4" t="s">
        <v>448</v>
      </c>
      <c r="H297" t="s">
        <v>449</v>
      </c>
      <c r="J297" t="s">
        <v>45</v>
      </c>
      <c r="K297" t="str" cm="1">
        <f t="array" ref="K297">IF(_xlfn.XLOOKUP(TRIM(A297),TRIM('Espai x esquema'!$A:$A),'Espai x esquema'!$E:$E,"",0)="Sí, però",
   "Sí",
   _xlfn.XLOOKUP(TRIM(A297),TRIM('Espai x esquema'!$A:$A),'Espai x esquema'!$E:$E,"",0))</f>
        <v>No</v>
      </c>
    </row>
    <row r="298" spans="1:11">
      <c r="A298" t="s">
        <v>475</v>
      </c>
      <c r="B298" t="s">
        <v>797</v>
      </c>
      <c r="C298">
        <v>224</v>
      </c>
      <c r="D298">
        <v>0.21875</v>
      </c>
      <c r="E298" s="3" t="s">
        <v>6</v>
      </c>
      <c r="F298" t="s">
        <v>116</v>
      </c>
      <c r="G298" t="s">
        <v>422</v>
      </c>
      <c r="H298" t="s">
        <v>488</v>
      </c>
      <c r="K298" t="str" cm="1">
        <f t="array" ref="K298">IF(_xlfn.XLOOKUP(TRIM(A298),TRIM('Espai x esquema'!$A:$A),'Espai x esquema'!$E:$E,"",0)="Sí, però",
   "Sí",
   _xlfn.XLOOKUP(TRIM(A298),TRIM('Espai x esquema'!$A:$A),'Espai x esquema'!$E:$E,"",0))</f>
        <v>No</v>
      </c>
    </row>
    <row r="299" spans="1:11">
      <c r="A299" t="s">
        <v>595</v>
      </c>
      <c r="B299" t="s">
        <v>798</v>
      </c>
      <c r="C299">
        <v>224</v>
      </c>
      <c r="D299">
        <v>0.21875</v>
      </c>
      <c r="E299" s="3" t="s">
        <v>6</v>
      </c>
      <c r="F299" t="s">
        <v>116</v>
      </c>
      <c r="G299" t="s">
        <v>422</v>
      </c>
      <c r="K299" t="str" cm="1">
        <f t="array" ref="K299">IF(_xlfn.XLOOKUP(TRIM(A299),TRIM('Espai x esquema'!$A:$A),'Espai x esquema'!$E:$E,"",0)="Sí, però",
   "Sí",
   _xlfn.XLOOKUP(TRIM(A299),TRIM('Espai x esquema'!$A:$A),'Espai x esquema'!$E:$E,"",0))</f>
        <v>No</v>
      </c>
    </row>
    <row r="300" spans="1:11">
      <c r="A300" t="s">
        <v>17</v>
      </c>
      <c r="B300" t="s">
        <v>799</v>
      </c>
      <c r="C300">
        <v>224</v>
      </c>
      <c r="D300">
        <f>new_212__3[[#This Row],[MBYTES]]/1024</f>
        <v>0.21875</v>
      </c>
      <c r="E300" s="3" t="s">
        <v>8</v>
      </c>
      <c r="F300" t="s">
        <v>84</v>
      </c>
      <c r="H300" t="s">
        <v>520</v>
      </c>
      <c r="J300" t="s">
        <v>5</v>
      </c>
      <c r="K300" t="str" cm="1">
        <f t="array" ref="K300">IF(_xlfn.XLOOKUP(TRIM(A300),TRIM('Espai x esquema'!$A:$A),'Espai x esquema'!$E:$E,"",0)="Sí, però",
   "Sí",
   _xlfn.XLOOKUP(TRIM(A300),TRIM('Espai x esquema'!$A:$A),'Espai x esquema'!$E:$E,"",0))</f>
        <v>??</v>
      </c>
    </row>
    <row r="301" spans="1:11">
      <c r="A301" t="s">
        <v>28</v>
      </c>
      <c r="B301" t="s">
        <v>800</v>
      </c>
      <c r="C301">
        <v>224</v>
      </c>
      <c r="D301">
        <f>new_212__3[[#This Row],[MBYTES]]/1024</f>
        <v>0.21875</v>
      </c>
      <c r="E301" s="3" t="s">
        <v>8</v>
      </c>
      <c r="F301" t="s">
        <v>84</v>
      </c>
      <c r="G301" t="s">
        <v>706</v>
      </c>
      <c r="J301" t="s">
        <v>15</v>
      </c>
      <c r="K301" t="str" cm="1">
        <f t="array" ref="K301">IF(_xlfn.XLOOKUP(TRIM(A301),TRIM('Espai x esquema'!$A:$A),'Espai x esquema'!$E:$E,"",0)="Sí, però",
   "Sí",
   _xlfn.XLOOKUP(TRIM(A301),TRIM('Espai x esquema'!$A:$A),'Espai x esquema'!$E:$E,"",0))</f>
        <v>Sí</v>
      </c>
    </row>
    <row r="302" spans="1:11">
      <c r="A302" t="s">
        <v>801</v>
      </c>
      <c r="B302" t="s">
        <v>802</v>
      </c>
      <c r="C302">
        <v>224</v>
      </c>
      <c r="D302">
        <f>new_212__3[[#This Row],[MBYTES]]/1024</f>
        <v>0.21875</v>
      </c>
      <c r="E302" s="3" t="s">
        <v>6</v>
      </c>
      <c r="F302" t="s">
        <v>84</v>
      </c>
      <c r="G302" t="s">
        <v>417</v>
      </c>
      <c r="K302" t="str" cm="1">
        <f t="array" ref="K302">IF(_xlfn.XLOOKUP(TRIM(A302),TRIM('Espai x esquema'!$A:$A),'Espai x esquema'!$E:$E,"",0)="Sí, però",
   "Sí",
   _xlfn.XLOOKUP(TRIM(A302),TRIM('Espai x esquema'!$A:$A),'Espai x esquema'!$E:$E,"",0))</f>
        <v>No</v>
      </c>
    </row>
    <row r="303" spans="1:11">
      <c r="A303" t="s">
        <v>30</v>
      </c>
      <c r="B303" t="s">
        <v>803</v>
      </c>
      <c r="C303">
        <v>224</v>
      </c>
      <c r="D303">
        <f>new_212__3[[#This Row],[MBYTES]]/1024</f>
        <v>0.21875</v>
      </c>
      <c r="E303" s="3" t="s">
        <v>6</v>
      </c>
      <c r="F303" t="s">
        <v>84</v>
      </c>
      <c r="H303" t="s">
        <v>440</v>
      </c>
      <c r="K303" t="str" cm="1">
        <f t="array" ref="K303">IF(_xlfn.XLOOKUP(TRIM(A303),TRIM('Espai x esquema'!$A:$A),'Espai x esquema'!$E:$E,"",0)="Sí, però",
   "Sí",
   _xlfn.XLOOKUP(TRIM(A303),TRIM('Espai x esquema'!$A:$A),'Espai x esquema'!$E:$E,"",0))</f>
        <v>No</v>
      </c>
    </row>
    <row r="304" spans="1:11">
      <c r="A304" t="s">
        <v>469</v>
      </c>
      <c r="B304" t="s">
        <v>804</v>
      </c>
      <c r="C304">
        <v>224</v>
      </c>
      <c r="D304">
        <f>new_212__3[[#This Row],[MBYTES]]/1024</f>
        <v>0.21875</v>
      </c>
      <c r="E304" s="3" t="s">
        <v>6</v>
      </c>
      <c r="F304" t="s">
        <v>84</v>
      </c>
      <c r="K304" t="str" cm="1">
        <f t="array" ref="K304">IF(_xlfn.XLOOKUP(TRIM(A304),TRIM('Espai x esquema'!$A:$A),'Espai x esquema'!$E:$E,"",0)="Sí, però",
   "Sí",
   _xlfn.XLOOKUP(TRIM(A304),TRIM('Espai x esquema'!$A:$A),'Espai x esquema'!$E:$E,"",0))</f>
        <v>No</v>
      </c>
    </row>
    <row r="305" spans="1:11">
      <c r="A305" t="s">
        <v>714</v>
      </c>
      <c r="B305" t="s">
        <v>805</v>
      </c>
      <c r="C305">
        <v>224</v>
      </c>
      <c r="D305">
        <f>new_212__3[[#This Row],[MBYTES]]/1024</f>
        <v>0.21875</v>
      </c>
      <c r="E305" s="3" t="s">
        <v>6</v>
      </c>
      <c r="F305" t="s">
        <v>101</v>
      </c>
      <c r="G305" t="s">
        <v>668</v>
      </c>
      <c r="K305" t="str" cm="1">
        <f t="array" ref="K305">IF(_xlfn.XLOOKUP(TRIM(A305),TRIM('Espai x esquema'!$A:$A),'Espai x esquema'!$E:$E,"",0)="Sí, però",
   "Sí",
   _xlfn.XLOOKUP(TRIM(A305),TRIM('Espai x esquema'!$A:$A),'Espai x esquema'!$E:$E,"",0))</f>
        <v>No</v>
      </c>
    </row>
    <row r="306" spans="1:11">
      <c r="A306" t="s">
        <v>681</v>
      </c>
      <c r="B306" t="s">
        <v>806</v>
      </c>
      <c r="C306">
        <v>218</v>
      </c>
      <c r="D306">
        <v>0.212890625</v>
      </c>
      <c r="E306" s="3" t="s">
        <v>6</v>
      </c>
      <c r="F306" t="s">
        <v>116</v>
      </c>
      <c r="G306" t="s">
        <v>422</v>
      </c>
      <c r="K306" t="str" cm="1">
        <f t="array" ref="K306">IF(_xlfn.XLOOKUP(TRIM(A306),TRIM('Espai x esquema'!$A:$A),'Espai x esquema'!$E:$E,"",0)="Sí, però",
   "Sí",
   _xlfn.XLOOKUP(TRIM(A306),TRIM('Espai x esquema'!$A:$A),'Espai x esquema'!$E:$E,"",0))</f>
        <v>No</v>
      </c>
    </row>
    <row r="307" spans="1:11">
      <c r="A307" t="s">
        <v>807</v>
      </c>
      <c r="B307" t="s">
        <v>808</v>
      </c>
      <c r="C307">
        <v>216</v>
      </c>
      <c r="D307">
        <v>0.2109375</v>
      </c>
      <c r="E307" s="3" t="s">
        <v>6</v>
      </c>
      <c r="F307" t="s">
        <v>116</v>
      </c>
      <c r="G307" t="s">
        <v>422</v>
      </c>
      <c r="K307" t="str" cm="1">
        <f t="array" ref="K307">IF(_xlfn.XLOOKUP(TRIM(A307),TRIM('Espai x esquema'!$A:$A),'Espai x esquema'!$E:$E,"",0)="Sí, però",
   "Sí",
   _xlfn.XLOOKUP(TRIM(A307),TRIM('Espai x esquema'!$A:$A),'Espai x esquema'!$E:$E,"",0))</f>
        <v>No</v>
      </c>
    </row>
    <row r="308" spans="1:11">
      <c r="A308" t="s">
        <v>685</v>
      </c>
      <c r="B308" t="s">
        <v>809</v>
      </c>
      <c r="C308">
        <v>216</v>
      </c>
      <c r="D308">
        <v>0.2109375</v>
      </c>
      <c r="E308" s="3" t="s">
        <v>6</v>
      </c>
      <c r="F308" t="s">
        <v>116</v>
      </c>
      <c r="G308" t="s">
        <v>422</v>
      </c>
      <c r="K308" t="str" cm="1">
        <f t="array" ref="K308">IF(_xlfn.XLOOKUP(TRIM(A308),TRIM('Espai x esquema'!$A:$A),'Espai x esquema'!$E:$E,"",0)="Sí, però",
   "Sí",
   _xlfn.XLOOKUP(TRIM(A308),TRIM('Espai x esquema'!$A:$A),'Espai x esquema'!$E:$E,"",0))</f>
        <v>No</v>
      </c>
    </row>
    <row r="309" spans="1:11">
      <c r="A309" t="s">
        <v>685</v>
      </c>
      <c r="B309" t="s">
        <v>810</v>
      </c>
      <c r="C309">
        <v>216</v>
      </c>
      <c r="D309">
        <v>0.2109375</v>
      </c>
      <c r="E309" s="3" t="s">
        <v>6</v>
      </c>
      <c r="F309" t="s">
        <v>116</v>
      </c>
      <c r="G309" t="s">
        <v>422</v>
      </c>
      <c r="K309" t="str" cm="1">
        <f t="array" ref="K309">IF(_xlfn.XLOOKUP(TRIM(A309),TRIM('Espai x esquema'!$A:$A),'Espai x esquema'!$E:$E,"",0)="Sí, però",
   "Sí",
   _xlfn.XLOOKUP(TRIM(A309),TRIM('Espai x esquema'!$A:$A),'Espai x esquema'!$E:$E,"",0))</f>
        <v>No</v>
      </c>
    </row>
    <row r="310" spans="1:11">
      <c r="A310" t="s">
        <v>475</v>
      </c>
      <c r="B310" t="s">
        <v>811</v>
      </c>
      <c r="C310">
        <v>216</v>
      </c>
      <c r="D310">
        <v>0.2109375</v>
      </c>
      <c r="E310" s="3" t="s">
        <v>6</v>
      </c>
      <c r="F310" t="s">
        <v>116</v>
      </c>
      <c r="G310" t="s">
        <v>422</v>
      </c>
      <c r="H310" t="s">
        <v>488</v>
      </c>
      <c r="K310" t="str" cm="1">
        <f t="array" ref="K310">IF(_xlfn.XLOOKUP(TRIM(A310),TRIM('Espai x esquema'!$A:$A),'Espai x esquema'!$E:$E,"",0)="Sí, però",
   "Sí",
   _xlfn.XLOOKUP(TRIM(A310),TRIM('Espai x esquema'!$A:$A),'Espai x esquema'!$E:$E,"",0))</f>
        <v>No</v>
      </c>
    </row>
    <row r="311" spans="1:11">
      <c r="A311" t="s">
        <v>30</v>
      </c>
      <c r="B311" t="s">
        <v>812</v>
      </c>
      <c r="C311">
        <v>216</v>
      </c>
      <c r="D311">
        <f>new_212__3[[#This Row],[MBYTES]]/1024</f>
        <v>0.2109375</v>
      </c>
      <c r="E311" s="3" t="s">
        <v>6</v>
      </c>
      <c r="F311" t="s">
        <v>84</v>
      </c>
      <c r="H311" t="s">
        <v>440</v>
      </c>
      <c r="K311" t="str" cm="1">
        <f t="array" ref="K311">IF(_xlfn.XLOOKUP(TRIM(A311),TRIM('Espai x esquema'!$A:$A),'Espai x esquema'!$E:$E,"",0)="Sí, però",
   "Sí",
   _xlfn.XLOOKUP(TRIM(A311),TRIM('Espai x esquema'!$A:$A),'Espai x esquema'!$E:$E,"",0))</f>
        <v>No</v>
      </c>
    </row>
    <row r="312" spans="1:11">
      <c r="A312" t="s">
        <v>495</v>
      </c>
      <c r="B312" t="s">
        <v>813</v>
      </c>
      <c r="C312">
        <v>208</v>
      </c>
      <c r="D312">
        <v>0.203125</v>
      </c>
      <c r="E312" s="3" t="s">
        <v>6</v>
      </c>
      <c r="F312" t="s">
        <v>116</v>
      </c>
      <c r="G312" t="s">
        <v>422</v>
      </c>
      <c r="K312" t="str" cm="1">
        <f t="array" ref="K312">IF(_xlfn.XLOOKUP(TRIM(A312),TRIM('Espai x esquema'!$A:$A),'Espai x esquema'!$E:$E,"",0)="Sí, però",
   "Sí",
   _xlfn.XLOOKUP(TRIM(A312),TRIM('Espai x esquema'!$A:$A),'Espai x esquema'!$E:$E,"",0))</f>
        <v>No</v>
      </c>
    </row>
    <row r="313" spans="1:11">
      <c r="A313" t="s">
        <v>540</v>
      </c>
      <c r="B313" t="s">
        <v>814</v>
      </c>
      <c r="C313">
        <v>208</v>
      </c>
      <c r="D313">
        <v>0.203125</v>
      </c>
      <c r="E313" s="3" t="s">
        <v>6</v>
      </c>
      <c r="F313" t="s">
        <v>116</v>
      </c>
      <c r="G313" t="s">
        <v>422</v>
      </c>
      <c r="K313" t="str" cm="1">
        <f t="array" ref="K313">IF(_xlfn.XLOOKUP(TRIM(A313),TRIM('Espai x esquema'!$A:$A),'Espai x esquema'!$E:$E,"",0)="Sí, però",
   "Sí",
   _xlfn.XLOOKUP(TRIM(A313),TRIM('Espai x esquema'!$A:$A),'Espai x esquema'!$E:$E,"",0))</f>
        <v>Sí</v>
      </c>
    </row>
    <row r="314" spans="1:11">
      <c r="A314" t="s">
        <v>592</v>
      </c>
      <c r="B314" t="s">
        <v>815</v>
      </c>
      <c r="C314">
        <v>208</v>
      </c>
      <c r="D314">
        <v>0.203125</v>
      </c>
      <c r="E314" s="3" t="s">
        <v>6</v>
      </c>
      <c r="F314" t="s">
        <v>116</v>
      </c>
      <c r="G314" t="s">
        <v>422</v>
      </c>
      <c r="H314" t="s">
        <v>594</v>
      </c>
      <c r="K314" t="str" cm="1">
        <f t="array" ref="K314">IF(_xlfn.XLOOKUP(TRIM(A314),TRIM('Espai x esquema'!$A:$A),'Espai x esquema'!$E:$E,"",0)="Sí, però",
   "Sí",
   _xlfn.XLOOKUP(TRIM(A314),TRIM('Espai x esquema'!$A:$A),'Espai x esquema'!$E:$E,"",0))</f>
        <v>No</v>
      </c>
    </row>
    <row r="315" spans="1:11">
      <c r="A315" t="s">
        <v>458</v>
      </c>
      <c r="B315" t="s">
        <v>816</v>
      </c>
      <c r="C315">
        <v>208</v>
      </c>
      <c r="D315">
        <f>new_212__3[[#This Row],[MBYTES]]/1024</f>
        <v>0.203125</v>
      </c>
      <c r="E315" s="3" t="s">
        <v>6</v>
      </c>
      <c r="F315" t="s">
        <v>84</v>
      </c>
      <c r="G315" t="s">
        <v>417</v>
      </c>
      <c r="K315" t="str" cm="1">
        <f t="array" ref="K315">IF(_xlfn.XLOOKUP(TRIM(A315),TRIM('Espai x esquema'!$A:$A),'Espai x esquema'!$E:$E,"",0)="Sí, però",
   "Sí",
   _xlfn.XLOOKUP(TRIM(A315),TRIM('Espai x esquema'!$A:$A),'Espai x esquema'!$E:$E,"",0))</f>
        <v>Sí</v>
      </c>
    </row>
    <row r="316" spans="1:11">
      <c r="A316" t="s">
        <v>548</v>
      </c>
      <c r="B316" t="s">
        <v>817</v>
      </c>
      <c r="C316">
        <v>208</v>
      </c>
      <c r="D316">
        <f>new_212__3[[#This Row],[MBYTES]]/1024</f>
        <v>0.203125</v>
      </c>
      <c r="E316" s="3" t="s">
        <v>6</v>
      </c>
      <c r="F316" t="s">
        <v>84</v>
      </c>
      <c r="G316" t="s">
        <v>550</v>
      </c>
      <c r="K316" t="str" cm="1">
        <f t="array" ref="K316">IF(_xlfn.XLOOKUP(TRIM(A316),TRIM('Espai x esquema'!$A:$A),'Espai x esquema'!$E:$E,"",0)="Sí, però",
   "Sí",
   _xlfn.XLOOKUP(TRIM(A316),TRIM('Espai x esquema'!$A:$A),'Espai x esquema'!$E:$E,"",0))</f>
        <v>No</v>
      </c>
    </row>
    <row r="317" spans="1:11">
      <c r="A317" t="s">
        <v>818</v>
      </c>
      <c r="B317" t="s">
        <v>819</v>
      </c>
      <c r="C317">
        <v>208</v>
      </c>
      <c r="D317">
        <f>new_212__3[[#This Row],[MBYTES]]/1024</f>
        <v>0.203125</v>
      </c>
      <c r="E317" s="3" t="s">
        <v>6</v>
      </c>
      <c r="F317" t="s">
        <v>101</v>
      </c>
      <c r="G317" t="s">
        <v>668</v>
      </c>
      <c r="K317" t="str" cm="1">
        <f t="array" ref="K317">IF(_xlfn.XLOOKUP(TRIM(A317),TRIM('Espai x esquema'!$A:$A),'Espai x esquema'!$E:$E,"",0)="Sí, però",
   "Sí",
   _xlfn.XLOOKUP(TRIM(A317),TRIM('Espai x esquema'!$A:$A),'Espai x esquema'!$E:$E,"",0))</f>
        <v>No</v>
      </c>
    </row>
    <row r="318" spans="1:11">
      <c r="A318" t="s">
        <v>48</v>
      </c>
      <c r="B318" t="s">
        <v>820</v>
      </c>
      <c r="C318">
        <v>208</v>
      </c>
      <c r="D318">
        <f>new_212__3[[#This Row],[MBYTES]]/1024</f>
        <v>0.203125</v>
      </c>
      <c r="E318" s="3" t="s">
        <v>8</v>
      </c>
      <c r="F318" t="s">
        <v>101</v>
      </c>
      <c r="G318" t="s">
        <v>617</v>
      </c>
      <c r="H318" t="s">
        <v>618</v>
      </c>
      <c r="J318" t="s">
        <v>45</v>
      </c>
      <c r="K318" t="str" cm="1">
        <f t="array" ref="K318">IF(_xlfn.XLOOKUP(TRIM(A318),TRIM('Espai x esquema'!$A:$A),'Espai x esquema'!$E:$E,"",0)="Sí, però",
   "Sí",
   _xlfn.XLOOKUP(TRIM(A318),TRIM('Espai x esquema'!$A:$A),'Espai x esquema'!$E:$E,"",0))</f>
        <v>No</v>
      </c>
    </row>
    <row r="319" spans="1:11">
      <c r="A319" t="s">
        <v>521</v>
      </c>
      <c r="B319" t="s">
        <v>821</v>
      </c>
      <c r="C319">
        <v>201</v>
      </c>
      <c r="D319">
        <v>0.19628906300000001</v>
      </c>
      <c r="E319" s="3" t="s">
        <v>6</v>
      </c>
      <c r="F319" t="s">
        <v>116</v>
      </c>
      <c r="G319" t="s">
        <v>422</v>
      </c>
      <c r="K319" t="str" cm="1">
        <f t="array" ref="K319">IF(_xlfn.XLOOKUP(TRIM(A319),TRIM('Espai x esquema'!$A:$A),'Espai x esquema'!$E:$E,"",0)="Sí, però",
   "Sí",
   _xlfn.XLOOKUP(TRIM(A319),TRIM('Espai x esquema'!$A:$A),'Espai x esquema'!$E:$E,"",0))</f>
        <v>No</v>
      </c>
    </row>
    <row r="320" spans="1:11">
      <c r="A320" t="s">
        <v>822</v>
      </c>
      <c r="B320" t="s">
        <v>437</v>
      </c>
      <c r="C320">
        <v>200</v>
      </c>
      <c r="D320">
        <v>0.1953125</v>
      </c>
      <c r="E320" s="3" t="s">
        <v>6</v>
      </c>
      <c r="F320" t="s">
        <v>116</v>
      </c>
      <c r="G320" t="s">
        <v>422</v>
      </c>
      <c r="K320" t="str" cm="1">
        <f t="array" ref="K320">IF(_xlfn.XLOOKUP(TRIM(A320),TRIM('Espai x esquema'!$A:$A),'Espai x esquema'!$E:$E,"",0)="Sí, però",
   "Sí",
   _xlfn.XLOOKUP(TRIM(A320),TRIM('Espai x esquema'!$A:$A),'Espai x esquema'!$E:$E,"",0))</f>
        <v>??</v>
      </c>
    </row>
    <row r="321" spans="1:11">
      <c r="A321" t="s">
        <v>557</v>
      </c>
      <c r="B321" t="s">
        <v>823</v>
      </c>
      <c r="C321">
        <v>200</v>
      </c>
      <c r="D321">
        <v>0.1953125</v>
      </c>
      <c r="E321" s="3" t="s">
        <v>6</v>
      </c>
      <c r="F321" t="s">
        <v>116</v>
      </c>
      <c r="G321" t="s">
        <v>422</v>
      </c>
      <c r="K321" t="str" cm="1">
        <f t="array" ref="K321">IF(_xlfn.XLOOKUP(TRIM(A321),TRIM('Espai x esquema'!$A:$A),'Espai x esquema'!$E:$E,"",0)="Sí, però",
   "Sí",
   _xlfn.XLOOKUP(TRIM(A321),TRIM('Espai x esquema'!$A:$A),'Espai x esquema'!$E:$E,"",0))</f>
        <v>No</v>
      </c>
    </row>
    <row r="322" spans="1:11">
      <c r="A322" t="s">
        <v>20</v>
      </c>
      <c r="B322" t="s">
        <v>824</v>
      </c>
      <c r="C322">
        <v>200</v>
      </c>
      <c r="D322">
        <f>new_212__3[[#This Row],[MBYTES]]/1024</f>
        <v>0.1953125</v>
      </c>
      <c r="E322" s="3" t="s">
        <v>8</v>
      </c>
      <c r="F322" t="s">
        <v>84</v>
      </c>
      <c r="H322" t="s">
        <v>440</v>
      </c>
      <c r="J322" t="s">
        <v>15</v>
      </c>
      <c r="K322" t="str" cm="1">
        <f t="array" ref="K322">IF(_xlfn.XLOOKUP(TRIM(A322),TRIM('Espai x esquema'!$A:$A),'Espai x esquema'!$E:$E,"",0)="Sí, però",
   "Sí",
   _xlfn.XLOOKUP(TRIM(A322),TRIM('Espai x esquema'!$A:$A),'Espai x esquema'!$E:$E,"",0))</f>
        <v>No</v>
      </c>
    </row>
    <row r="323" spans="1:11">
      <c r="A323" t="s">
        <v>434</v>
      </c>
      <c r="B323" t="s">
        <v>825</v>
      </c>
      <c r="C323">
        <v>200</v>
      </c>
      <c r="D323">
        <f>new_212__3[[#This Row],[MBYTES]]/1024</f>
        <v>0.1953125</v>
      </c>
      <c r="E323" s="3" t="s">
        <v>6</v>
      </c>
      <c r="F323" t="s">
        <v>84</v>
      </c>
      <c r="G323" t="s">
        <v>426</v>
      </c>
      <c r="K323" t="str" cm="1">
        <f t="array" ref="K323">IF(_xlfn.XLOOKUP(TRIM(A323),TRIM('Espai x esquema'!$A:$A),'Espai x esquema'!$E:$E,"",0)="Sí, però",
   "Sí",
   _xlfn.XLOOKUP(TRIM(A323),TRIM('Espai x esquema'!$A:$A),'Espai x esquema'!$E:$E,"",0))</f>
        <v>No</v>
      </c>
    </row>
    <row r="324" spans="1:11">
      <c r="A324" t="s">
        <v>548</v>
      </c>
      <c r="B324" t="s">
        <v>826</v>
      </c>
      <c r="C324">
        <v>200</v>
      </c>
      <c r="D324">
        <f>new_212__3[[#This Row],[MBYTES]]/1024</f>
        <v>0.1953125</v>
      </c>
      <c r="E324" s="3" t="s">
        <v>6</v>
      </c>
      <c r="F324" t="s">
        <v>84</v>
      </c>
      <c r="G324" t="s">
        <v>550</v>
      </c>
      <c r="K324" t="str" cm="1">
        <f t="array" ref="K324">IF(_xlfn.XLOOKUP(TRIM(A324),TRIM('Espai x esquema'!$A:$A),'Espai x esquema'!$E:$E,"",0)="Sí, però",
   "Sí",
   _xlfn.XLOOKUP(TRIM(A324),TRIM('Espai x esquema'!$A:$A),'Espai x esquema'!$E:$E,"",0))</f>
        <v>No</v>
      </c>
    </row>
    <row r="325" spans="1:11">
      <c r="A325" t="s">
        <v>28</v>
      </c>
      <c r="B325" t="s">
        <v>827</v>
      </c>
      <c r="C325">
        <v>200</v>
      </c>
      <c r="D325">
        <f>new_212__3[[#This Row],[MBYTES]]/1024</f>
        <v>0.1953125</v>
      </c>
      <c r="E325" s="3" t="s">
        <v>8</v>
      </c>
      <c r="F325" t="s">
        <v>84</v>
      </c>
      <c r="G325" t="s">
        <v>706</v>
      </c>
      <c r="J325" t="s">
        <v>15</v>
      </c>
      <c r="K325" t="str" cm="1">
        <f t="array" ref="K325">IF(_xlfn.XLOOKUP(TRIM(A325),TRIM('Espai x esquema'!$A:$A),'Espai x esquema'!$E:$E,"",0)="Sí, però",
   "Sí",
   _xlfn.XLOOKUP(TRIM(A325),TRIM('Espai x esquema'!$A:$A),'Espai x esquema'!$E:$E,"",0))</f>
        <v>Sí</v>
      </c>
    </row>
    <row r="326" spans="1:11">
      <c r="A326" t="s">
        <v>801</v>
      </c>
      <c r="B326" t="s">
        <v>828</v>
      </c>
      <c r="C326">
        <v>200</v>
      </c>
      <c r="D326">
        <f>new_212__3[[#This Row],[MBYTES]]/1024</f>
        <v>0.1953125</v>
      </c>
      <c r="E326" s="3" t="s">
        <v>6</v>
      </c>
      <c r="F326" t="s">
        <v>84</v>
      </c>
      <c r="G326" t="s">
        <v>417</v>
      </c>
      <c r="K326" t="str" cm="1">
        <f t="array" ref="K326">IF(_xlfn.XLOOKUP(TRIM(A326),TRIM('Espai x esquema'!$A:$A),'Espai x esquema'!$E:$E,"",0)="Sí, però",
   "Sí",
   _xlfn.XLOOKUP(TRIM(A326),TRIM('Espai x esquema'!$A:$A),'Espai x esquema'!$E:$E,"",0))</f>
        <v>No</v>
      </c>
    </row>
    <row r="327" spans="1:11">
      <c r="A327" t="s">
        <v>34</v>
      </c>
      <c r="B327" t="s">
        <v>829</v>
      </c>
      <c r="C327">
        <v>200</v>
      </c>
      <c r="D327">
        <f>new_212__3[[#This Row],[MBYTES]]/1024</f>
        <v>0.1953125</v>
      </c>
      <c r="E327" s="3" t="s">
        <v>6</v>
      </c>
      <c r="F327" t="s">
        <v>84</v>
      </c>
      <c r="G327" t="s">
        <v>428</v>
      </c>
      <c r="K327" t="str" cm="1">
        <f t="array" ref="K327">IF(_xlfn.XLOOKUP(TRIM(A327),TRIM('Espai x esquema'!$A:$A),'Espai x esquema'!$E:$E,"",0)="Sí, però",
   "Sí",
   _xlfn.XLOOKUP(TRIM(A327),TRIM('Espai x esquema'!$A:$A),'Espai x esquema'!$E:$E,"",0))</f>
        <v>No</v>
      </c>
    </row>
    <row r="328" spans="1:11">
      <c r="A328" t="s">
        <v>469</v>
      </c>
      <c r="B328" t="s">
        <v>830</v>
      </c>
      <c r="C328">
        <v>200</v>
      </c>
      <c r="D328">
        <f>new_212__3[[#This Row],[MBYTES]]/1024</f>
        <v>0.1953125</v>
      </c>
      <c r="E328" s="3" t="s">
        <v>6</v>
      </c>
      <c r="F328" t="s">
        <v>84</v>
      </c>
      <c r="K328" t="str" cm="1">
        <f t="array" ref="K328">IF(_xlfn.XLOOKUP(TRIM(A328),TRIM('Espai x esquema'!$A:$A),'Espai x esquema'!$E:$E,"",0)="Sí, però",
   "Sí",
   _xlfn.XLOOKUP(TRIM(A328),TRIM('Espai x esquema'!$A:$A),'Espai x esquema'!$E:$E,"",0))</f>
        <v>No</v>
      </c>
    </row>
    <row r="329" spans="1:11">
      <c r="A329" t="s">
        <v>469</v>
      </c>
      <c r="B329" t="s">
        <v>831</v>
      </c>
      <c r="C329">
        <v>200</v>
      </c>
      <c r="D329">
        <f>new_212__3[[#This Row],[MBYTES]]/1024</f>
        <v>0.1953125</v>
      </c>
      <c r="E329" s="3" t="s">
        <v>6</v>
      </c>
      <c r="F329" t="s">
        <v>84</v>
      </c>
      <c r="K329" t="str" cm="1">
        <f t="array" ref="K329">IF(_xlfn.XLOOKUP(TRIM(A329),TRIM('Espai x esquema'!$A:$A),'Espai x esquema'!$E:$E,"",0)="Sí, però",
   "Sí",
   _xlfn.XLOOKUP(TRIM(A329),TRIM('Espai x esquema'!$A:$A),'Espai x esquema'!$E:$E,"",0))</f>
        <v>No</v>
      </c>
    </row>
    <row r="330" spans="1:11">
      <c r="A330" t="s">
        <v>714</v>
      </c>
      <c r="B330" t="s">
        <v>832</v>
      </c>
      <c r="C330">
        <v>200</v>
      </c>
      <c r="D330">
        <f>new_212__3[[#This Row],[MBYTES]]/1024</f>
        <v>0.1953125</v>
      </c>
      <c r="E330" s="3" t="s">
        <v>6</v>
      </c>
      <c r="F330" t="s">
        <v>101</v>
      </c>
      <c r="G330" t="s">
        <v>668</v>
      </c>
      <c r="K330" t="str" cm="1">
        <f t="array" ref="K330">IF(_xlfn.XLOOKUP(TRIM(A330),TRIM('Espai x esquema'!$A:$A),'Espai x esquema'!$E:$E,"",0)="Sí, però",
   "Sí",
   _xlfn.XLOOKUP(TRIM(A330),TRIM('Espai x esquema'!$A:$A),'Espai x esquema'!$E:$E,"",0))</f>
        <v>No</v>
      </c>
    </row>
    <row r="331" spans="1:11">
      <c r="A331" t="s">
        <v>833</v>
      </c>
      <c r="B331" t="s">
        <v>819</v>
      </c>
      <c r="C331">
        <v>200</v>
      </c>
      <c r="D331">
        <f>new_212__3[[#This Row],[MBYTES]]/1024</f>
        <v>0.1953125</v>
      </c>
      <c r="E331" s="3" t="s">
        <v>6</v>
      </c>
      <c r="F331" t="s">
        <v>101</v>
      </c>
      <c r="G331" t="s">
        <v>668</v>
      </c>
      <c r="K331" t="str" cm="1">
        <f t="array" ref="K331">IF(_xlfn.XLOOKUP(TRIM(A331),TRIM('Espai x esquema'!$A:$A),'Espai x esquema'!$E:$E,"",0)="Sí, però",
   "Sí",
   _xlfn.XLOOKUP(TRIM(A331),TRIM('Espai x esquema'!$A:$A),'Espai x esquema'!$E:$E,"",0))</f>
        <v>No</v>
      </c>
    </row>
    <row r="332" spans="1:11">
      <c r="A332" t="s">
        <v>48</v>
      </c>
      <c r="B332" t="s">
        <v>834</v>
      </c>
      <c r="C332">
        <v>200</v>
      </c>
      <c r="D332">
        <f>new_212__3[[#This Row],[MBYTES]]/1024</f>
        <v>0.1953125</v>
      </c>
      <c r="E332" s="3" t="s">
        <v>6</v>
      </c>
      <c r="F332" t="s">
        <v>101</v>
      </c>
      <c r="G332" t="s">
        <v>668</v>
      </c>
      <c r="K332" t="str" cm="1">
        <f t="array" ref="K332">IF(_xlfn.XLOOKUP(TRIM(A332),TRIM('Espai x esquema'!$A:$A),'Espai x esquema'!$E:$E,"",0)="Sí, però",
   "Sí",
   _xlfn.XLOOKUP(TRIM(A332),TRIM('Espai x esquema'!$A:$A),'Espai x esquema'!$E:$E,"",0))</f>
        <v>No</v>
      </c>
    </row>
    <row r="333" spans="1:11">
      <c r="A333" t="s">
        <v>28</v>
      </c>
      <c r="B333" t="s">
        <v>835</v>
      </c>
      <c r="C333">
        <v>194</v>
      </c>
      <c r="D333">
        <f>new_212__3[[#This Row],[MBYTES]]/1024</f>
        <v>0.189453125</v>
      </c>
      <c r="E333" s="3" t="s">
        <v>8</v>
      </c>
      <c r="F333" t="s">
        <v>84</v>
      </c>
      <c r="G333" t="s">
        <v>706</v>
      </c>
      <c r="J333" t="s">
        <v>15</v>
      </c>
      <c r="K333" t="str" cm="1">
        <f t="array" ref="K333">IF(_xlfn.XLOOKUP(TRIM(A333),TRIM('Espai x esquema'!$A:$A),'Espai x esquema'!$E:$E,"",0)="Sí, però",
   "Sí",
   _xlfn.XLOOKUP(TRIM(A333),TRIM('Espai x esquema'!$A:$A),'Espai x esquema'!$E:$E,"",0))</f>
        <v>Sí</v>
      </c>
    </row>
    <row r="334" spans="1:11">
      <c r="A334" t="s">
        <v>521</v>
      </c>
      <c r="B334" t="s">
        <v>836</v>
      </c>
      <c r="C334">
        <v>192</v>
      </c>
      <c r="D334">
        <v>0.1875</v>
      </c>
      <c r="E334" s="3" t="s">
        <v>6</v>
      </c>
      <c r="F334" t="s">
        <v>116</v>
      </c>
      <c r="G334" t="s">
        <v>422</v>
      </c>
      <c r="K334" t="str" cm="1">
        <f t="array" ref="K334">IF(_xlfn.XLOOKUP(TRIM(A334),TRIM('Espai x esquema'!$A:$A),'Espai x esquema'!$E:$E,"",0)="Sí, però",
   "Sí",
   _xlfn.XLOOKUP(TRIM(A334),TRIM('Espai x esquema'!$A:$A),'Espai x esquema'!$E:$E,"",0))</f>
        <v>No</v>
      </c>
    </row>
    <row r="335" spans="1:11">
      <c r="A335" t="s">
        <v>495</v>
      </c>
      <c r="B335" t="s">
        <v>837</v>
      </c>
      <c r="C335">
        <v>192</v>
      </c>
      <c r="D335">
        <v>0.1875</v>
      </c>
      <c r="E335" s="3" t="s">
        <v>6</v>
      </c>
      <c r="F335" t="s">
        <v>116</v>
      </c>
      <c r="G335" t="s">
        <v>422</v>
      </c>
      <c r="K335" t="str" cm="1">
        <f t="array" ref="K335">IF(_xlfn.XLOOKUP(TRIM(A335),TRIM('Espai x esquema'!$A:$A),'Espai x esquema'!$E:$E,"",0)="Sí, però",
   "Sí",
   _xlfn.XLOOKUP(TRIM(A335),TRIM('Espai x esquema'!$A:$A),'Espai x esquema'!$E:$E,"",0))</f>
        <v>No</v>
      </c>
    </row>
    <row r="336" spans="1:11">
      <c r="A336" t="s">
        <v>838</v>
      </c>
      <c r="B336" t="s">
        <v>839</v>
      </c>
      <c r="C336">
        <v>192</v>
      </c>
      <c r="D336">
        <v>0.1875</v>
      </c>
      <c r="E336" s="3" t="s">
        <v>6</v>
      </c>
      <c r="F336" t="s">
        <v>116</v>
      </c>
      <c r="G336" t="s">
        <v>422</v>
      </c>
      <c r="K336" t="str" cm="1">
        <f t="array" ref="K336">IF(_xlfn.XLOOKUP(TRIM(A336),TRIM('Espai x esquema'!$A:$A),'Espai x esquema'!$E:$E,"",0)="Sí, però",
   "Sí",
   _xlfn.XLOOKUP(TRIM(A336),TRIM('Espai x esquema'!$A:$A),'Espai x esquema'!$E:$E,"",0))</f>
        <v>No</v>
      </c>
    </row>
    <row r="337" spans="1:11">
      <c r="A337" t="s">
        <v>505</v>
      </c>
      <c r="B337" t="s">
        <v>840</v>
      </c>
      <c r="C337">
        <v>192</v>
      </c>
      <c r="D337">
        <v>0.1875</v>
      </c>
      <c r="E337" s="3" t="s">
        <v>6</v>
      </c>
      <c r="F337" t="s">
        <v>116</v>
      </c>
      <c r="G337" t="s">
        <v>422</v>
      </c>
      <c r="K337" t="str" cm="1">
        <f t="array" ref="K337">IF(_xlfn.XLOOKUP(TRIM(A337),TRIM('Espai x esquema'!$A:$A),'Espai x esquema'!$E:$E,"",0)="Sí, però",
   "Sí",
   _xlfn.XLOOKUP(TRIM(A337),TRIM('Espai x esquema'!$A:$A),'Espai x esquema'!$E:$E,"",0))</f>
        <v>No</v>
      </c>
    </row>
    <row r="338" spans="1:11">
      <c r="A338" t="s">
        <v>841</v>
      </c>
      <c r="B338" t="s">
        <v>666</v>
      </c>
      <c r="C338">
        <v>192</v>
      </c>
      <c r="D338">
        <f>new_212__3[[#This Row],[MBYTES]]/1024</f>
        <v>0.1875</v>
      </c>
      <c r="E338" s="3" t="s">
        <v>6</v>
      </c>
      <c r="F338" t="s">
        <v>84</v>
      </c>
      <c r="G338" t="s">
        <v>417</v>
      </c>
      <c r="K338" t="str" cm="1">
        <f t="array" ref="K338">IF(_xlfn.XLOOKUP(TRIM(A338),TRIM('Espai x esquema'!$A:$A),'Espai x esquema'!$E:$E,"",0)="Sí, però",
   "Sí",
   _xlfn.XLOOKUP(TRIM(A338),TRIM('Espai x esquema'!$A:$A),'Espai x esquema'!$E:$E,"",0))</f>
        <v>No</v>
      </c>
    </row>
    <row r="339" spans="1:11">
      <c r="A339" t="s">
        <v>548</v>
      </c>
      <c r="B339" t="s">
        <v>842</v>
      </c>
      <c r="C339">
        <v>192</v>
      </c>
      <c r="D339">
        <f>new_212__3[[#This Row],[MBYTES]]/1024</f>
        <v>0.1875</v>
      </c>
      <c r="E339" s="3" t="s">
        <v>6</v>
      </c>
      <c r="F339" t="s">
        <v>84</v>
      </c>
      <c r="G339" t="s">
        <v>550</v>
      </c>
      <c r="K339" t="str" cm="1">
        <f t="array" ref="K339">IF(_xlfn.XLOOKUP(TRIM(A339),TRIM('Espai x esquema'!$A:$A),'Espai x esquema'!$E:$E,"",0)="Sí, però",
   "Sí",
   _xlfn.XLOOKUP(TRIM(A339),TRIM('Espai x esquema'!$A:$A),'Espai x esquema'!$E:$E,"",0))</f>
        <v>No</v>
      </c>
    </row>
    <row r="340" spans="1:11">
      <c r="A340" t="s">
        <v>843</v>
      </c>
      <c r="B340" t="s">
        <v>408</v>
      </c>
      <c r="C340">
        <v>192</v>
      </c>
      <c r="D340">
        <f>new_212__3[[#This Row],[MBYTES]]/1024</f>
        <v>0.1875</v>
      </c>
      <c r="E340" s="3" t="s">
        <v>6</v>
      </c>
      <c r="F340" t="s">
        <v>84</v>
      </c>
      <c r="K340" t="str" cm="1">
        <f t="array" ref="K340">IF(_xlfn.XLOOKUP(TRIM(A340),TRIM('Espai x esquema'!$A:$A),'Espai x esquema'!$E:$E,"",0)="Sí, però",
   "Sí",
   _xlfn.XLOOKUP(TRIM(A340),TRIM('Espai x esquema'!$A:$A),'Espai x esquema'!$E:$E,"",0))</f>
        <v>No</v>
      </c>
    </row>
    <row r="341" spans="1:11">
      <c r="A341" t="s">
        <v>844</v>
      </c>
      <c r="B341" t="s">
        <v>845</v>
      </c>
      <c r="C341">
        <v>192</v>
      </c>
      <c r="D341">
        <f>new_212__3[[#This Row],[MBYTES]]/1024</f>
        <v>0.1875</v>
      </c>
      <c r="E341" s="3" t="s">
        <v>196</v>
      </c>
      <c r="F341" t="s">
        <v>125</v>
      </c>
      <c r="G341" t="s">
        <v>668</v>
      </c>
      <c r="K341" t="str" cm="1">
        <f t="array" ref="K341">IF(_xlfn.XLOOKUP(TRIM(A341),TRIM('Espai x esquema'!$A:$A),'Espai x esquema'!$E:$E,"",0)="Sí, però",
   "Sí",
   _xlfn.XLOOKUP(TRIM(A341),TRIM('Espai x esquema'!$A:$A),'Espai x esquema'!$E:$E,"",0))</f>
        <v>NO</v>
      </c>
    </row>
    <row r="342" spans="1:11">
      <c r="A342" t="s">
        <v>521</v>
      </c>
      <c r="B342" t="s">
        <v>846</v>
      </c>
      <c r="C342">
        <v>184</v>
      </c>
      <c r="D342">
        <v>0.1796875</v>
      </c>
      <c r="E342" s="3" t="s">
        <v>6</v>
      </c>
      <c r="F342" t="s">
        <v>116</v>
      </c>
      <c r="G342" t="s">
        <v>422</v>
      </c>
      <c r="K342" t="str" cm="1">
        <f t="array" ref="K342">IF(_xlfn.XLOOKUP(TRIM(A342),TRIM('Espai x esquema'!$A:$A),'Espai x esquema'!$E:$E,"",0)="Sí, però",
   "Sí",
   _xlfn.XLOOKUP(TRIM(A342),TRIM('Espai x esquema'!$A:$A),'Espai x esquema'!$E:$E,"",0))</f>
        <v>No</v>
      </c>
    </row>
    <row r="343" spans="1:11">
      <c r="A343" t="s">
        <v>475</v>
      </c>
      <c r="B343" t="s">
        <v>847</v>
      </c>
      <c r="C343">
        <v>184</v>
      </c>
      <c r="D343">
        <v>0.1796875</v>
      </c>
      <c r="E343" s="3" t="s">
        <v>6</v>
      </c>
      <c r="F343" t="s">
        <v>116</v>
      </c>
      <c r="G343" t="s">
        <v>422</v>
      </c>
      <c r="H343" t="s">
        <v>488</v>
      </c>
      <c r="K343" t="str" cm="1">
        <f t="array" ref="K343">IF(_xlfn.XLOOKUP(TRIM(A343),TRIM('Espai x esquema'!$A:$A),'Espai x esquema'!$E:$E,"",0)="Sí, però",
   "Sí",
   _xlfn.XLOOKUP(TRIM(A343),TRIM('Espai x esquema'!$A:$A),'Espai x esquema'!$E:$E,"",0))</f>
        <v>No</v>
      </c>
    </row>
    <row r="344" spans="1:11">
      <c r="A344" t="s">
        <v>665</v>
      </c>
      <c r="B344" t="s">
        <v>848</v>
      </c>
      <c r="C344">
        <v>184</v>
      </c>
      <c r="D344">
        <f>new_212__3[[#This Row],[MBYTES]]/1024</f>
        <v>0.1796875</v>
      </c>
      <c r="E344" s="3" t="s">
        <v>6</v>
      </c>
      <c r="F344" t="s">
        <v>84</v>
      </c>
      <c r="G344" t="s">
        <v>428</v>
      </c>
      <c r="K344" t="str" cm="1">
        <f t="array" ref="K344">IF(_xlfn.XLOOKUP(TRIM(A344),TRIM('Espai x esquema'!$A:$A),'Espai x esquema'!$E:$E,"",0)="Sí, però",
   "Sí",
   _xlfn.XLOOKUP(TRIM(A344),TRIM('Espai x esquema'!$A:$A),'Espai x esquema'!$E:$E,"",0))</f>
        <v>No</v>
      </c>
    </row>
    <row r="345" spans="1:11">
      <c r="A345" t="s">
        <v>548</v>
      </c>
      <c r="B345" t="s">
        <v>849</v>
      </c>
      <c r="C345">
        <v>184</v>
      </c>
      <c r="D345">
        <f>new_212__3[[#This Row],[MBYTES]]/1024</f>
        <v>0.1796875</v>
      </c>
      <c r="E345" s="3" t="s">
        <v>6</v>
      </c>
      <c r="F345" t="s">
        <v>84</v>
      </c>
      <c r="G345" t="s">
        <v>550</v>
      </c>
      <c r="K345" t="str" cm="1">
        <f t="array" ref="K345">IF(_xlfn.XLOOKUP(TRIM(A345),TRIM('Espai x esquema'!$A:$A),'Espai x esquema'!$E:$E,"",0)="Sí, però",
   "Sí",
   _xlfn.XLOOKUP(TRIM(A345),TRIM('Espai x esquema'!$A:$A),'Espai x esquema'!$E:$E,"",0))</f>
        <v>No</v>
      </c>
    </row>
    <row r="346" spans="1:11">
      <c r="A346" t="s">
        <v>548</v>
      </c>
      <c r="B346" t="s">
        <v>850</v>
      </c>
      <c r="C346">
        <v>184</v>
      </c>
      <c r="D346">
        <f>new_212__3[[#This Row],[MBYTES]]/1024</f>
        <v>0.1796875</v>
      </c>
      <c r="E346" s="3" t="s">
        <v>6</v>
      </c>
      <c r="F346" t="s">
        <v>84</v>
      </c>
      <c r="G346" t="s">
        <v>550</v>
      </c>
      <c r="K346" t="str" cm="1">
        <f t="array" ref="K346">IF(_xlfn.XLOOKUP(TRIM(A346),TRIM('Espai x esquema'!$A:$A),'Espai x esquema'!$E:$E,"",0)="Sí, però",
   "Sí",
   _xlfn.XLOOKUP(TRIM(A346),TRIM('Espai x esquema'!$A:$A),'Espai x esquema'!$E:$E,"",0))</f>
        <v>No</v>
      </c>
    </row>
    <row r="347" spans="1:11">
      <c r="A347" t="s">
        <v>507</v>
      </c>
      <c r="B347" t="s">
        <v>851</v>
      </c>
      <c r="C347">
        <v>184</v>
      </c>
      <c r="D347">
        <f>new_212__3[[#This Row],[MBYTES]]/1024</f>
        <v>0.1796875</v>
      </c>
      <c r="E347" s="3" t="s">
        <v>6</v>
      </c>
      <c r="F347" t="s">
        <v>84</v>
      </c>
      <c r="G347" t="s">
        <v>428</v>
      </c>
      <c r="K347" t="str" cm="1">
        <f t="array" ref="K347">IF(_xlfn.XLOOKUP(TRIM(A347),TRIM('Espai x esquema'!$A:$A),'Espai x esquema'!$E:$E,"",0)="Sí, però",
   "Sí",
   _xlfn.XLOOKUP(TRIM(A347),TRIM('Espai x esquema'!$A:$A),'Espai x esquema'!$E:$E,"",0))</f>
        <v>No</v>
      </c>
    </row>
    <row r="348" spans="1:11">
      <c r="A348" t="s">
        <v>48</v>
      </c>
      <c r="B348" t="s">
        <v>852</v>
      </c>
      <c r="C348">
        <v>184</v>
      </c>
      <c r="D348">
        <f>new_212__3[[#This Row],[MBYTES]]/1024</f>
        <v>0.1796875</v>
      </c>
      <c r="E348" s="3" t="s">
        <v>6</v>
      </c>
      <c r="F348" t="s">
        <v>101</v>
      </c>
      <c r="G348" t="s">
        <v>668</v>
      </c>
      <c r="K348" t="str" cm="1">
        <f t="array" ref="K348">IF(_xlfn.XLOOKUP(TRIM(A348),TRIM('Espai x esquema'!$A:$A),'Espai x esquema'!$E:$E,"",0)="Sí, però",
   "Sí",
   _xlfn.XLOOKUP(TRIM(A348),TRIM('Espai x esquema'!$A:$A),'Espai x esquema'!$E:$E,"",0))</f>
        <v>No</v>
      </c>
    </row>
    <row r="349" spans="1:11">
      <c r="A349" t="s">
        <v>28</v>
      </c>
      <c r="B349" t="s">
        <v>853</v>
      </c>
      <c r="C349">
        <v>179</v>
      </c>
      <c r="D349">
        <f>new_212__3[[#This Row],[MBYTES]]/1024</f>
        <v>0.1748046875</v>
      </c>
      <c r="E349" s="3" t="s">
        <v>8</v>
      </c>
      <c r="F349" t="s">
        <v>84</v>
      </c>
      <c r="G349" t="s">
        <v>706</v>
      </c>
      <c r="J349" t="s">
        <v>15</v>
      </c>
      <c r="K349" t="str" cm="1">
        <f t="array" ref="K349">IF(_xlfn.XLOOKUP(TRIM(A349),TRIM('Espai x esquema'!$A:$A),'Espai x esquema'!$E:$E,"",0)="Sí, però",
   "Sí",
   _xlfn.XLOOKUP(TRIM(A349),TRIM('Espai x esquema'!$A:$A),'Espai x esquema'!$E:$E,"",0))</f>
        <v>Sí</v>
      </c>
    </row>
    <row r="350" spans="1:11">
      <c r="A350" t="s">
        <v>681</v>
      </c>
      <c r="B350" t="s">
        <v>854</v>
      </c>
      <c r="C350">
        <v>176</v>
      </c>
      <c r="D350">
        <v>0.171875</v>
      </c>
      <c r="E350" s="3" t="s">
        <v>6</v>
      </c>
      <c r="F350" t="s">
        <v>116</v>
      </c>
      <c r="G350" t="s">
        <v>422</v>
      </c>
      <c r="K350" t="str" cm="1">
        <f t="array" ref="K350">IF(_xlfn.XLOOKUP(TRIM(A350),TRIM('Espai x esquema'!$A:$A),'Espai x esquema'!$E:$E,"",0)="Sí, però",
   "Sí",
   _xlfn.XLOOKUP(TRIM(A350),TRIM('Espai x esquema'!$A:$A),'Espai x esquema'!$E:$E,"",0))</f>
        <v>No</v>
      </c>
    </row>
    <row r="351" spans="1:11">
      <c r="A351" t="s">
        <v>573</v>
      </c>
      <c r="B351" t="s">
        <v>855</v>
      </c>
      <c r="C351">
        <v>176</v>
      </c>
      <c r="D351">
        <f>new_212__3[[#This Row],[MBYTES]]/1024</f>
        <v>0.171875</v>
      </c>
      <c r="E351" s="3" t="s">
        <v>6</v>
      </c>
      <c r="F351" t="s">
        <v>84</v>
      </c>
      <c r="K351" t="str" cm="1">
        <f t="array" ref="K351">IF(_xlfn.XLOOKUP(TRIM(A351),TRIM('Espai x esquema'!$A:$A),'Espai x esquema'!$E:$E,"",0)="Sí, però",
   "Sí",
   _xlfn.XLOOKUP(TRIM(A351),TRIM('Espai x esquema'!$A:$A),'Espai x esquema'!$E:$E,"",0))</f>
        <v>No</v>
      </c>
    </row>
    <row r="352" spans="1:11">
      <c r="A352" t="s">
        <v>22</v>
      </c>
      <c r="B352" t="s">
        <v>856</v>
      </c>
      <c r="C352">
        <v>176</v>
      </c>
      <c r="D352">
        <f>new_212__3[[#This Row],[MBYTES]]/1024</f>
        <v>0.171875</v>
      </c>
      <c r="E352" s="3" t="s">
        <v>6</v>
      </c>
      <c r="F352" t="s">
        <v>84</v>
      </c>
      <c r="G352" t="s">
        <v>444</v>
      </c>
      <c r="K352" t="str" cm="1">
        <f t="array" ref="K352">IF(_xlfn.XLOOKUP(TRIM(A352),TRIM('Espai x esquema'!$A:$A),'Espai x esquema'!$E:$E,"",0)="Sí, però",
   "Sí",
   _xlfn.XLOOKUP(TRIM(A352),TRIM('Espai x esquema'!$A:$A),'Espai x esquema'!$E:$E,"",0))</f>
        <v>No</v>
      </c>
    </row>
    <row r="353" spans="1:11">
      <c r="A353" t="s">
        <v>405</v>
      </c>
      <c r="B353" t="s">
        <v>857</v>
      </c>
      <c r="C353">
        <v>176</v>
      </c>
      <c r="D353">
        <f>new_212__3[[#This Row],[MBYTES]]/1024</f>
        <v>0.171875</v>
      </c>
      <c r="E353" s="3" t="s">
        <v>6</v>
      </c>
      <c r="F353" t="s">
        <v>84</v>
      </c>
      <c r="H353" t="s">
        <v>440</v>
      </c>
      <c r="K353" t="str" cm="1">
        <f t="array" ref="K353">IF(_xlfn.XLOOKUP(TRIM(A353),TRIM('Espai x esquema'!$A:$A),'Espai x esquema'!$E:$E,"",0)="Sí, però",
   "Sí",
   _xlfn.XLOOKUP(TRIM(A353),TRIM('Espai x esquema'!$A:$A),'Espai x esquema'!$E:$E,"",0))</f>
        <v>No</v>
      </c>
    </row>
    <row r="354" spans="1:11">
      <c r="A354" t="s">
        <v>516</v>
      </c>
      <c r="B354" t="s">
        <v>858</v>
      </c>
      <c r="C354">
        <v>176</v>
      </c>
      <c r="D354">
        <f>new_212__3[[#This Row],[MBYTES]]/1024</f>
        <v>0.171875</v>
      </c>
      <c r="E354" s="3" t="s">
        <v>6</v>
      </c>
      <c r="F354" t="s">
        <v>84</v>
      </c>
      <c r="G354" t="s">
        <v>428</v>
      </c>
      <c r="K354" t="str" cm="1">
        <f t="array" ref="K354">IF(_xlfn.XLOOKUP(TRIM(A354),TRIM('Espai x esquema'!$A:$A),'Espai x esquema'!$E:$E,"",0)="Sí, però",
   "Sí",
   _xlfn.XLOOKUP(TRIM(A354),TRIM('Espai x esquema'!$A:$A),'Espai x esquema'!$E:$E,"",0))</f>
        <v>No</v>
      </c>
    </row>
    <row r="355" spans="1:11">
      <c r="A355" t="s">
        <v>30</v>
      </c>
      <c r="B355" t="s">
        <v>859</v>
      </c>
      <c r="C355">
        <v>176</v>
      </c>
      <c r="D355">
        <f>new_212__3[[#This Row],[MBYTES]]/1024</f>
        <v>0.171875</v>
      </c>
      <c r="E355" s="3" t="s">
        <v>8</v>
      </c>
      <c r="F355" t="s">
        <v>84</v>
      </c>
      <c r="J355" t="s">
        <v>15</v>
      </c>
      <c r="K355" t="str" cm="1">
        <f t="array" ref="K355">IF(_xlfn.XLOOKUP(TRIM(A355),TRIM('Espai x esquema'!$A:$A),'Espai x esquema'!$E:$E,"",0)="Sí, però",
   "Sí",
   _xlfn.XLOOKUP(TRIM(A355),TRIM('Espai x esquema'!$A:$A),'Espai x esquema'!$E:$E,"",0))</f>
        <v>No</v>
      </c>
    </row>
    <row r="356" spans="1:11">
      <c r="A356" t="s">
        <v>860</v>
      </c>
      <c r="B356" t="s">
        <v>861</v>
      </c>
      <c r="C356">
        <v>176</v>
      </c>
      <c r="D356">
        <f>new_212__3[[#This Row],[MBYTES]]/1024</f>
        <v>0.171875</v>
      </c>
      <c r="E356" s="3" t="s">
        <v>6</v>
      </c>
      <c r="F356" t="s">
        <v>101</v>
      </c>
      <c r="G356" t="s">
        <v>668</v>
      </c>
      <c r="K356" t="str" cm="1">
        <f t="array" ref="K356">IF(_xlfn.XLOOKUP(TRIM(A356),TRIM('Espai x esquema'!$A:$A),'Espai x esquema'!$E:$E,"",0)="Sí, però",
   "Sí",
   _xlfn.XLOOKUP(TRIM(A356),TRIM('Espai x esquema'!$A:$A),'Espai x esquema'!$E:$E,"",0))</f>
        <v>No</v>
      </c>
    </row>
    <row r="357" spans="1:11">
      <c r="A357" t="s">
        <v>420</v>
      </c>
      <c r="B357" t="s">
        <v>862</v>
      </c>
      <c r="C357">
        <v>174</v>
      </c>
      <c r="D357">
        <v>0.169921875</v>
      </c>
      <c r="E357" s="3" t="s">
        <v>6</v>
      </c>
      <c r="F357" t="s">
        <v>116</v>
      </c>
      <c r="G357" t="s">
        <v>422</v>
      </c>
      <c r="K357" t="str" cm="1">
        <f t="array" ref="K357">IF(_xlfn.XLOOKUP(TRIM(A357),TRIM('Espai x esquema'!$A:$A),'Espai x esquema'!$E:$E,"",0)="Sí, però",
   "Sí",
   _xlfn.XLOOKUP(TRIM(A357),TRIM('Espai x esquema'!$A:$A),'Espai x esquema'!$E:$E,"",0))</f>
        <v>No</v>
      </c>
    </row>
    <row r="358" spans="1:11">
      <c r="A358" t="s">
        <v>521</v>
      </c>
      <c r="B358" t="s">
        <v>863</v>
      </c>
      <c r="C358">
        <v>173</v>
      </c>
      <c r="D358">
        <v>0.16894531300000001</v>
      </c>
      <c r="E358" s="3" t="s">
        <v>6</v>
      </c>
      <c r="F358" t="s">
        <v>116</v>
      </c>
      <c r="G358" t="s">
        <v>422</v>
      </c>
      <c r="K358" t="str" cm="1">
        <f t="array" ref="K358">IF(_xlfn.XLOOKUP(TRIM(A358),TRIM('Espai x esquema'!$A:$A),'Espai x esquema'!$E:$E,"",0)="Sí, però",
   "Sí",
   _xlfn.XLOOKUP(TRIM(A358),TRIM('Espai x esquema'!$A:$A),'Espai x esquema'!$E:$E,"",0))</f>
        <v>No</v>
      </c>
    </row>
    <row r="359" spans="1:11">
      <c r="A359" t="s">
        <v>685</v>
      </c>
      <c r="B359" t="s">
        <v>864</v>
      </c>
      <c r="C359">
        <v>170</v>
      </c>
      <c r="D359">
        <v>0.166015625</v>
      </c>
      <c r="E359" s="3" t="s">
        <v>6</v>
      </c>
      <c r="F359" t="s">
        <v>116</v>
      </c>
      <c r="G359" t="s">
        <v>422</v>
      </c>
      <c r="K359" t="str" cm="1">
        <f t="array" ref="K359">IF(_xlfn.XLOOKUP(TRIM(A359),TRIM('Espai x esquema'!$A:$A),'Espai x esquema'!$E:$E,"",0)="Sí, però",
   "Sí",
   _xlfn.XLOOKUP(TRIM(A359),TRIM('Espai x esquema'!$A:$A),'Espai x esquema'!$E:$E,"",0))</f>
        <v>No</v>
      </c>
    </row>
    <row r="360" spans="1:11">
      <c r="A360" t="s">
        <v>521</v>
      </c>
      <c r="B360" t="s">
        <v>865</v>
      </c>
      <c r="C360">
        <v>168</v>
      </c>
      <c r="D360">
        <v>0.1640625</v>
      </c>
      <c r="E360" s="3" t="s">
        <v>6</v>
      </c>
      <c r="F360" t="s">
        <v>116</v>
      </c>
      <c r="G360" t="s">
        <v>422</v>
      </c>
      <c r="K360" t="str" cm="1">
        <f t="array" ref="K360">IF(_xlfn.XLOOKUP(TRIM(A360),TRIM('Espai x esquema'!$A:$A),'Espai x esquema'!$E:$E,"",0)="Sí, però",
   "Sí",
   _xlfn.XLOOKUP(TRIM(A360),TRIM('Espai x esquema'!$A:$A),'Espai x esquema'!$E:$E,"",0))</f>
        <v>No</v>
      </c>
    </row>
    <row r="361" spans="1:11">
      <c r="A361" t="s">
        <v>513</v>
      </c>
      <c r="B361" t="s">
        <v>866</v>
      </c>
      <c r="C361">
        <v>168</v>
      </c>
      <c r="D361">
        <v>0.1640625</v>
      </c>
      <c r="E361" s="3" t="s">
        <v>6</v>
      </c>
      <c r="F361" t="s">
        <v>116</v>
      </c>
      <c r="G361" t="s">
        <v>422</v>
      </c>
      <c r="K361" t="str" cm="1">
        <f t="array" ref="K361">IF(_xlfn.XLOOKUP(TRIM(A361),TRIM('Espai x esquema'!$A:$A),'Espai x esquema'!$E:$E,"",0)="Sí, però",
   "Sí",
   _xlfn.XLOOKUP(TRIM(A361),TRIM('Espai x esquema'!$A:$A),'Espai x esquema'!$E:$E,"",0))</f>
        <v>No</v>
      </c>
    </row>
    <row r="362" spans="1:11">
      <c r="A362" t="s">
        <v>685</v>
      </c>
      <c r="B362" t="s">
        <v>867</v>
      </c>
      <c r="C362">
        <v>168</v>
      </c>
      <c r="D362">
        <v>0.1640625</v>
      </c>
      <c r="E362" s="3" t="s">
        <v>6</v>
      </c>
      <c r="F362" t="s">
        <v>116</v>
      </c>
      <c r="G362" t="s">
        <v>422</v>
      </c>
      <c r="K362" t="str" cm="1">
        <f t="array" ref="K362">IF(_xlfn.XLOOKUP(TRIM(A362),TRIM('Espai x esquema'!$A:$A),'Espai x esquema'!$E:$E,"",0)="Sí, però",
   "Sí",
   _xlfn.XLOOKUP(TRIM(A362),TRIM('Espai x esquema'!$A:$A),'Espai x esquema'!$E:$E,"",0))</f>
        <v>No</v>
      </c>
    </row>
    <row r="363" spans="1:11">
      <c r="A363" t="s">
        <v>516</v>
      </c>
      <c r="B363" t="s">
        <v>868</v>
      </c>
      <c r="C363">
        <v>168</v>
      </c>
      <c r="D363">
        <f>new_212__3[[#This Row],[MBYTES]]/1024</f>
        <v>0.1640625</v>
      </c>
      <c r="E363" s="3" t="s">
        <v>6</v>
      </c>
      <c r="F363" t="s">
        <v>84</v>
      </c>
      <c r="G363" t="s">
        <v>417</v>
      </c>
      <c r="K363" t="str" cm="1">
        <f t="array" ref="K363">IF(_xlfn.XLOOKUP(TRIM(A363),TRIM('Espai x esquema'!$A:$A),'Espai x esquema'!$E:$E,"",0)="Sí, però",
   "Sí",
   _xlfn.XLOOKUP(TRIM(A363),TRIM('Espai x esquema'!$A:$A),'Espai x esquema'!$E:$E,"",0))</f>
        <v>No</v>
      </c>
    </row>
    <row r="364" spans="1:11">
      <c r="A364" t="s">
        <v>507</v>
      </c>
      <c r="B364" t="s">
        <v>869</v>
      </c>
      <c r="C364">
        <v>168</v>
      </c>
      <c r="D364">
        <f>new_212__3[[#This Row],[MBYTES]]/1024</f>
        <v>0.1640625</v>
      </c>
      <c r="E364" s="3" t="s">
        <v>6</v>
      </c>
      <c r="F364" t="s">
        <v>84</v>
      </c>
      <c r="G364" t="s">
        <v>428</v>
      </c>
      <c r="K364" t="str" cm="1">
        <f t="array" ref="K364">IF(_xlfn.XLOOKUP(TRIM(A364),TRIM('Espai x esquema'!$A:$A),'Espai x esquema'!$E:$E,"",0)="Sí, però",
   "Sí",
   _xlfn.XLOOKUP(TRIM(A364),TRIM('Espai x esquema'!$A:$A),'Espai x esquema'!$E:$E,"",0))</f>
        <v>No</v>
      </c>
    </row>
    <row r="365" spans="1:11">
      <c r="A365" t="s">
        <v>513</v>
      </c>
      <c r="B365" t="s">
        <v>870</v>
      </c>
      <c r="C365">
        <v>160</v>
      </c>
      <c r="D365">
        <v>0.15625</v>
      </c>
      <c r="E365" s="3" t="s">
        <v>6</v>
      </c>
      <c r="F365" t="s">
        <v>116</v>
      </c>
      <c r="G365" t="s">
        <v>422</v>
      </c>
      <c r="K365" t="str" cm="1">
        <f t="array" ref="K365">IF(_xlfn.XLOOKUP(TRIM(A365),TRIM('Espai x esquema'!$A:$A),'Espai x esquema'!$E:$E,"",0)="Sí, però",
   "Sí",
   _xlfn.XLOOKUP(TRIM(A365),TRIM('Espai x esquema'!$A:$A),'Espai x esquema'!$E:$E,"",0))</f>
        <v>No</v>
      </c>
    </row>
    <row r="366" spans="1:11">
      <c r="A366" t="s">
        <v>681</v>
      </c>
      <c r="B366" t="s">
        <v>871</v>
      </c>
      <c r="C366">
        <v>160</v>
      </c>
      <c r="D366">
        <v>0.15625</v>
      </c>
      <c r="E366" s="3" t="s">
        <v>6</v>
      </c>
      <c r="F366" t="s">
        <v>116</v>
      </c>
      <c r="G366" t="s">
        <v>422</v>
      </c>
      <c r="K366" t="str" cm="1">
        <f t="array" ref="K366">IF(_xlfn.XLOOKUP(TRIM(A366),TRIM('Espai x esquema'!$A:$A),'Espai x esquema'!$E:$E,"",0)="Sí, però",
   "Sí",
   _xlfn.XLOOKUP(TRIM(A366),TRIM('Espai x esquema'!$A:$A),'Espai x esquema'!$E:$E,"",0))</f>
        <v>No</v>
      </c>
    </row>
    <row r="367" spans="1:11">
      <c r="A367" t="s">
        <v>436</v>
      </c>
      <c r="B367" t="s">
        <v>872</v>
      </c>
      <c r="C367">
        <v>160</v>
      </c>
      <c r="D367">
        <v>0.15625</v>
      </c>
      <c r="E367" s="3" t="s">
        <v>6</v>
      </c>
      <c r="F367" t="s">
        <v>116</v>
      </c>
      <c r="G367" t="s">
        <v>422</v>
      </c>
      <c r="K367" t="str" cm="1">
        <f t="array" ref="K367">IF(_xlfn.XLOOKUP(TRIM(A367),TRIM('Espai x esquema'!$A:$A),'Espai x esquema'!$E:$E,"",0)="Sí, però",
   "Sí",
   _xlfn.XLOOKUP(TRIM(A367),TRIM('Espai x esquema'!$A:$A),'Espai x esquema'!$E:$E,"",0))</f>
        <v>No</v>
      </c>
    </row>
    <row r="368" spans="1:11">
      <c r="A368" t="s">
        <v>461</v>
      </c>
      <c r="B368" t="s">
        <v>873</v>
      </c>
      <c r="C368">
        <v>160</v>
      </c>
      <c r="D368">
        <f>new_212__3[[#This Row],[MBYTES]]/1024</f>
        <v>0.15625</v>
      </c>
      <c r="E368" s="3" t="s">
        <v>6</v>
      </c>
      <c r="F368" t="s">
        <v>84</v>
      </c>
      <c r="G368" t="s">
        <v>428</v>
      </c>
      <c r="K368" t="str" cm="1">
        <f t="array" ref="K368">IF(_xlfn.XLOOKUP(TRIM(A368),TRIM('Espai x esquema'!$A:$A),'Espai x esquema'!$E:$E,"",0)="Sí, però",
   "Sí",
   _xlfn.XLOOKUP(TRIM(A368),TRIM('Espai x esquema'!$A:$A),'Espai x esquema'!$E:$E,"",0))</f>
        <v>No</v>
      </c>
    </row>
    <row r="369" spans="1:11">
      <c r="A369" t="s">
        <v>30</v>
      </c>
      <c r="B369" t="s">
        <v>874</v>
      </c>
      <c r="C369">
        <v>160</v>
      </c>
      <c r="D369">
        <f>new_212__3[[#This Row],[MBYTES]]/1024</f>
        <v>0.15625</v>
      </c>
      <c r="E369" s="3" t="s">
        <v>6</v>
      </c>
      <c r="F369" t="s">
        <v>84</v>
      </c>
      <c r="H369" t="s">
        <v>440</v>
      </c>
      <c r="K369" t="str" cm="1">
        <f t="array" ref="K369">IF(_xlfn.XLOOKUP(TRIM(A369),TRIM('Espai x esquema'!$A:$A),'Espai x esquema'!$E:$E,"",0)="Sí, però",
   "Sí",
   _xlfn.XLOOKUP(TRIM(A369),TRIM('Espai x esquema'!$A:$A),'Espai x esquema'!$E:$E,"",0))</f>
        <v>No</v>
      </c>
    </row>
    <row r="370" spans="1:11">
      <c r="A370" t="s">
        <v>546</v>
      </c>
      <c r="B370" t="s">
        <v>875</v>
      </c>
      <c r="C370">
        <v>160</v>
      </c>
      <c r="D370">
        <f>new_212__3[[#This Row],[MBYTES]]/1024</f>
        <v>0.15625</v>
      </c>
      <c r="E370" s="3" t="s">
        <v>6</v>
      </c>
      <c r="F370" t="s">
        <v>84</v>
      </c>
      <c r="G370" t="s">
        <v>417</v>
      </c>
      <c r="K370" t="str" cm="1">
        <f t="array" ref="K370">IF(_xlfn.XLOOKUP(TRIM(A370),TRIM('Espai x esquema'!$A:$A),'Espai x esquema'!$E:$E,"",0)="Sí, però",
   "Sí",
   _xlfn.XLOOKUP(TRIM(A370),TRIM('Espai x esquema'!$A:$A),'Espai x esquema'!$E:$E,"",0))</f>
        <v>No</v>
      </c>
    </row>
    <row r="371" spans="1:11">
      <c r="A371" t="s">
        <v>451</v>
      </c>
      <c r="B371" t="s">
        <v>876</v>
      </c>
      <c r="C371">
        <v>152</v>
      </c>
      <c r="D371">
        <f>new_212__3[[#This Row],[MBYTES]]/1024</f>
        <v>0.1484375</v>
      </c>
      <c r="E371" s="3" t="s">
        <v>6</v>
      </c>
      <c r="F371" t="s">
        <v>84</v>
      </c>
      <c r="H371" t="s">
        <v>440</v>
      </c>
      <c r="K371" t="str" cm="1">
        <f t="array" ref="K371">IF(_xlfn.XLOOKUP(TRIM(A371),TRIM('Espai x esquema'!$A:$A),'Espai x esquema'!$E:$E,"",0)="Sí, però",
   "Sí",
   _xlfn.XLOOKUP(TRIM(A371),TRIM('Espai x esquema'!$A:$A),'Espai x esquema'!$E:$E,"",0))</f>
        <v>No</v>
      </c>
    </row>
    <row r="372" spans="1:11">
      <c r="A372" t="s">
        <v>17</v>
      </c>
      <c r="B372" t="s">
        <v>877</v>
      </c>
      <c r="C372">
        <v>152</v>
      </c>
      <c r="D372">
        <f>new_212__3[[#This Row],[MBYTES]]/1024</f>
        <v>0.1484375</v>
      </c>
      <c r="E372" s="3" t="s">
        <v>8</v>
      </c>
      <c r="F372" t="s">
        <v>84</v>
      </c>
      <c r="H372" t="s">
        <v>520</v>
      </c>
      <c r="J372" t="s">
        <v>5</v>
      </c>
      <c r="K372" t="str" cm="1">
        <f t="array" ref="K372">IF(_xlfn.XLOOKUP(TRIM(A372),TRIM('Espai x esquema'!$A:$A),'Espai x esquema'!$E:$E,"",0)="Sí, però",
   "Sí",
   _xlfn.XLOOKUP(TRIM(A372),TRIM('Espai x esquema'!$A:$A),'Espai x esquema'!$E:$E,"",0))</f>
        <v>??</v>
      </c>
    </row>
    <row r="373" spans="1:11">
      <c r="A373" t="s">
        <v>838</v>
      </c>
      <c r="B373" t="s">
        <v>878</v>
      </c>
      <c r="C373">
        <v>152</v>
      </c>
      <c r="D373">
        <f>new_212__3[[#This Row],[MBYTES]]/1024</f>
        <v>0.1484375</v>
      </c>
      <c r="E373" s="3" t="s">
        <v>6</v>
      </c>
      <c r="F373" t="s">
        <v>84</v>
      </c>
      <c r="K373" t="str" cm="1">
        <f t="array" ref="K373">IF(_xlfn.XLOOKUP(TRIM(A373),TRIM('Espai x esquema'!$A:$A),'Espai x esquema'!$E:$E,"",0)="Sí, però",
   "Sí",
   _xlfn.XLOOKUP(TRIM(A373),TRIM('Espai x esquema'!$A:$A),'Espai x esquema'!$E:$E,"",0))</f>
        <v>No</v>
      </c>
    </row>
    <row r="374" spans="1:11">
      <c r="A374" t="s">
        <v>30</v>
      </c>
      <c r="B374" t="s">
        <v>879</v>
      </c>
      <c r="C374">
        <v>152</v>
      </c>
      <c r="D374">
        <f>new_212__3[[#This Row],[MBYTES]]/1024</f>
        <v>0.1484375</v>
      </c>
      <c r="E374" s="3" t="s">
        <v>6</v>
      </c>
      <c r="F374" t="s">
        <v>84</v>
      </c>
      <c r="H374" t="s">
        <v>440</v>
      </c>
      <c r="K374" t="str" cm="1">
        <f t="array" ref="K374">IF(_xlfn.XLOOKUP(TRIM(A374),TRIM('Espai x esquema'!$A:$A),'Espai x esquema'!$E:$E,"",0)="Sí, però",
   "Sí",
   _xlfn.XLOOKUP(TRIM(A374),TRIM('Espai x esquema'!$A:$A),'Espai x esquema'!$E:$E,"",0))</f>
        <v>No</v>
      </c>
    </row>
    <row r="375" spans="1:11">
      <c r="A375" t="s">
        <v>415</v>
      </c>
      <c r="B375" t="s">
        <v>880</v>
      </c>
      <c r="C375">
        <v>152</v>
      </c>
      <c r="D375">
        <f>new_212__3[[#This Row],[MBYTES]]/1024</f>
        <v>0.1484375</v>
      </c>
      <c r="E375" s="3" t="s">
        <v>6</v>
      </c>
      <c r="F375" t="s">
        <v>84</v>
      </c>
      <c r="G375" t="s">
        <v>428</v>
      </c>
      <c r="K375" t="str" cm="1">
        <f t="array" ref="K375">IF(_xlfn.XLOOKUP(TRIM(A375),TRIM('Espai x esquema'!$A:$A),'Espai x esquema'!$E:$E,"",0)="Sí, però",
   "Sí",
   _xlfn.XLOOKUP(TRIM(A375),TRIM('Espai x esquema'!$A:$A),'Espai x esquema'!$E:$E,"",0))</f>
        <v>No</v>
      </c>
    </row>
    <row r="376" spans="1:11">
      <c r="A376" t="s">
        <v>507</v>
      </c>
      <c r="B376" t="s">
        <v>881</v>
      </c>
      <c r="C376">
        <v>152</v>
      </c>
      <c r="D376">
        <f>new_212__3[[#This Row],[MBYTES]]/1024</f>
        <v>0.1484375</v>
      </c>
      <c r="E376" s="3" t="s">
        <v>6</v>
      </c>
      <c r="F376" t="s">
        <v>84</v>
      </c>
      <c r="G376" t="s">
        <v>428</v>
      </c>
      <c r="K376" t="str" cm="1">
        <f t="array" ref="K376">IF(_xlfn.XLOOKUP(TRIM(A376),TRIM('Espai x esquema'!$A:$A),'Espai x esquema'!$E:$E,"",0)="Sí, però",
   "Sí",
   _xlfn.XLOOKUP(TRIM(A376),TRIM('Espai x esquema'!$A:$A),'Espai x esquema'!$E:$E,"",0))</f>
        <v>No</v>
      </c>
    </row>
    <row r="377" spans="1:11">
      <c r="A377" t="s">
        <v>882</v>
      </c>
      <c r="B377" t="s">
        <v>883</v>
      </c>
      <c r="C377">
        <v>152</v>
      </c>
      <c r="D377">
        <f>new_212__3[[#This Row],[MBYTES]]/1024</f>
        <v>0.1484375</v>
      </c>
      <c r="E377" s="3" t="s">
        <v>5</v>
      </c>
      <c r="K377" t="str" cm="1">
        <f t="array" ref="K377">IF(_xlfn.XLOOKUP(TRIM(A377),TRIM('Espai x esquema'!$A:$A),'Espai x esquema'!$E:$E,"",0)="Sí, però",
   "Sí",
   _xlfn.XLOOKUP(TRIM(A377),TRIM('Espai x esquema'!$A:$A),'Espai x esquema'!$E:$E,"",0))</f>
        <v>??</v>
      </c>
    </row>
    <row r="378" spans="1:11">
      <c r="A378" t="s">
        <v>737</v>
      </c>
      <c r="B378" t="s">
        <v>884</v>
      </c>
      <c r="C378">
        <v>152</v>
      </c>
      <c r="D378">
        <f>new_212__3[[#This Row],[MBYTES]]/1024</f>
        <v>0.1484375</v>
      </c>
      <c r="E378" s="3" t="s">
        <v>5</v>
      </c>
      <c r="K378" t="str" cm="1">
        <f t="array" ref="K378">IF(_xlfn.XLOOKUP(TRIM(A378),TRIM('Espai x esquema'!$A:$A),'Espai x esquema'!$E:$E,"",0)="Sí, però",
   "Sí",
   _xlfn.XLOOKUP(TRIM(A378),TRIM('Espai x esquema'!$A:$A),'Espai x esquema'!$E:$E,"",0))</f>
        <v>??</v>
      </c>
    </row>
    <row r="379" spans="1:11">
      <c r="A379" t="s">
        <v>41</v>
      </c>
      <c r="B379" t="s">
        <v>600</v>
      </c>
      <c r="C379">
        <v>144</v>
      </c>
      <c r="D379">
        <v>0.140625</v>
      </c>
      <c r="E379" s="3" t="s">
        <v>8</v>
      </c>
      <c r="F379" t="s">
        <v>116</v>
      </c>
      <c r="G379" t="s">
        <v>422</v>
      </c>
      <c r="H379" t="s">
        <v>694</v>
      </c>
      <c r="J379" t="s">
        <v>31</v>
      </c>
      <c r="K379" t="str" cm="1">
        <f t="array" ref="K379">IF(_xlfn.XLOOKUP(TRIM(A379),TRIM('Espai x esquema'!$A:$A),'Espai x esquema'!$E:$E,"",0)="Sí, però",
   "Sí",
   _xlfn.XLOOKUP(TRIM(A379),TRIM('Espai x esquema'!$A:$A),'Espai x esquema'!$E:$E,"",0))</f>
        <v>Sí</v>
      </c>
    </row>
    <row r="380" spans="1:11">
      <c r="A380" t="s">
        <v>681</v>
      </c>
      <c r="B380" t="s">
        <v>885</v>
      </c>
      <c r="C380">
        <v>144</v>
      </c>
      <c r="D380">
        <v>0.140625</v>
      </c>
      <c r="E380" s="3" t="s">
        <v>6</v>
      </c>
      <c r="F380" t="s">
        <v>116</v>
      </c>
      <c r="G380" t="s">
        <v>422</v>
      </c>
      <c r="K380" t="str" cm="1">
        <f t="array" ref="K380">IF(_xlfn.XLOOKUP(TRIM(A380),TRIM('Espai x esquema'!$A:$A),'Espai x esquema'!$E:$E,"",0)="Sí, però",
   "Sí",
   _xlfn.XLOOKUP(TRIM(A380),TRIM('Espai x esquema'!$A:$A),'Espai x esquema'!$E:$E,"",0))</f>
        <v>No</v>
      </c>
    </row>
    <row r="381" spans="1:11">
      <c r="A381" t="s">
        <v>681</v>
      </c>
      <c r="B381" t="s">
        <v>886</v>
      </c>
      <c r="C381">
        <v>144</v>
      </c>
      <c r="D381">
        <v>0.140625</v>
      </c>
      <c r="E381" s="3" t="s">
        <v>6</v>
      </c>
      <c r="F381" t="s">
        <v>116</v>
      </c>
      <c r="G381" t="s">
        <v>422</v>
      </c>
      <c r="K381" t="str" cm="1">
        <f t="array" ref="K381">IF(_xlfn.XLOOKUP(TRIM(A381),TRIM('Espai x esquema'!$A:$A),'Espai x esquema'!$E:$E,"",0)="Sí, però",
   "Sí",
   _xlfn.XLOOKUP(TRIM(A381),TRIM('Espai x esquema'!$A:$A),'Espai x esquema'!$E:$E,"",0))</f>
        <v>No</v>
      </c>
    </row>
    <row r="382" spans="1:11">
      <c r="A382" t="s">
        <v>685</v>
      </c>
      <c r="B382" t="s">
        <v>887</v>
      </c>
      <c r="C382">
        <v>144</v>
      </c>
      <c r="D382">
        <v>0.140625</v>
      </c>
      <c r="E382" s="3" t="s">
        <v>6</v>
      </c>
      <c r="F382" t="s">
        <v>116</v>
      </c>
      <c r="G382" t="s">
        <v>422</v>
      </c>
      <c r="K382" t="str" cm="1">
        <f t="array" ref="K382">IF(_xlfn.XLOOKUP(TRIM(A382),TRIM('Espai x esquema'!$A:$A),'Espai x esquema'!$E:$E,"",0)="Sí, però",
   "Sí",
   _xlfn.XLOOKUP(TRIM(A382),TRIM('Espai x esquema'!$A:$A),'Espai x esquema'!$E:$E,"",0))</f>
        <v>No</v>
      </c>
    </row>
    <row r="383" spans="1:11">
      <c r="A383" t="s">
        <v>438</v>
      </c>
      <c r="B383" t="s">
        <v>888</v>
      </c>
      <c r="C383">
        <v>144</v>
      </c>
      <c r="D383">
        <f>new_212__3[[#This Row],[MBYTES]]/1024</f>
        <v>0.140625</v>
      </c>
      <c r="E383" s="3" t="s">
        <v>6</v>
      </c>
      <c r="F383" t="s">
        <v>84</v>
      </c>
      <c r="H383" t="s">
        <v>440</v>
      </c>
      <c r="K383" t="str" cm="1">
        <f t="array" ref="K383">IF(_xlfn.XLOOKUP(TRIM(A383),TRIM('Espai x esquema'!$A:$A),'Espai x esquema'!$E:$E,"",0)="Sí, però",
   "Sí",
   _xlfn.XLOOKUP(TRIM(A383),TRIM('Espai x esquema'!$A:$A),'Espai x esquema'!$E:$E,"",0))</f>
        <v>No</v>
      </c>
    </row>
    <row r="384" spans="1:11">
      <c r="A384" t="s">
        <v>43</v>
      </c>
      <c r="B384" t="s">
        <v>839</v>
      </c>
      <c r="C384">
        <v>144</v>
      </c>
      <c r="D384">
        <f>new_212__3[[#This Row],[MBYTES]]/1024</f>
        <v>0.140625</v>
      </c>
      <c r="E384" s="3" t="s">
        <v>8</v>
      </c>
      <c r="F384" t="s">
        <v>84</v>
      </c>
      <c r="H384" t="s">
        <v>694</v>
      </c>
      <c r="J384" t="s">
        <v>31</v>
      </c>
      <c r="K384" t="str" cm="1">
        <f t="array" ref="K384">IF(_xlfn.XLOOKUP(TRIM(A384),TRIM('Espai x esquema'!$A:$A),'Espai x esquema'!$E:$E,"",0)="Sí, però",
   "Sí",
   _xlfn.XLOOKUP(TRIM(A384),TRIM('Espai x esquema'!$A:$A),'Espai x esquema'!$E:$E,"",0))</f>
        <v>Sí</v>
      </c>
    </row>
    <row r="385" spans="1:11">
      <c r="A385" t="s">
        <v>26</v>
      </c>
      <c r="B385" t="s">
        <v>889</v>
      </c>
      <c r="C385">
        <v>144</v>
      </c>
      <c r="D385">
        <f>new_212__3[[#This Row],[MBYTES]]/1024</f>
        <v>0.140625</v>
      </c>
      <c r="E385" s="3" t="s">
        <v>6</v>
      </c>
      <c r="F385" t="s">
        <v>84</v>
      </c>
      <c r="G385" t="s">
        <v>428</v>
      </c>
      <c r="K385" t="str" cm="1">
        <f t="array" ref="K385">IF(_xlfn.XLOOKUP(TRIM(A385),TRIM('Espai x esquema'!$A:$A),'Espai x esquema'!$E:$E,"",0)="Sí, però",
   "Sí",
   _xlfn.XLOOKUP(TRIM(A385),TRIM('Espai x esquema'!$A:$A),'Espai x esquema'!$E:$E,"",0))</f>
        <v>No</v>
      </c>
    </row>
    <row r="386" spans="1:11">
      <c r="A386" t="s">
        <v>507</v>
      </c>
      <c r="B386" t="s">
        <v>853</v>
      </c>
      <c r="C386">
        <v>144</v>
      </c>
      <c r="D386">
        <f>new_212__3[[#This Row],[MBYTES]]/1024</f>
        <v>0.140625</v>
      </c>
      <c r="E386" s="3" t="s">
        <v>6</v>
      </c>
      <c r="F386" t="s">
        <v>84</v>
      </c>
      <c r="G386" t="s">
        <v>428</v>
      </c>
      <c r="K386" t="str" cm="1">
        <f t="array" ref="K386">IF(_xlfn.XLOOKUP(TRIM(A386),TRIM('Espai x esquema'!$A:$A),'Espai x esquema'!$E:$E,"",0)="Sí, però",
   "Sí",
   _xlfn.XLOOKUP(TRIM(A386),TRIM('Espai x esquema'!$A:$A),'Espai x esquema'!$E:$E,"",0))</f>
        <v>No</v>
      </c>
    </row>
    <row r="387" spans="1:11">
      <c r="A387" t="s">
        <v>890</v>
      </c>
      <c r="B387" t="s">
        <v>819</v>
      </c>
      <c r="C387">
        <v>144</v>
      </c>
      <c r="D387">
        <f>new_212__3[[#This Row],[MBYTES]]/1024</f>
        <v>0.140625</v>
      </c>
      <c r="E387" s="3" t="s">
        <v>6</v>
      </c>
      <c r="F387" t="s">
        <v>101</v>
      </c>
      <c r="G387" t="s">
        <v>668</v>
      </c>
      <c r="K387" t="str" cm="1">
        <f t="array" ref="K387">IF(_xlfn.XLOOKUP(TRIM(A387),TRIM('Espai x esquema'!$A:$A),'Espai x esquema'!$E:$E,"",0)="Sí, però",
   "Sí",
   _xlfn.XLOOKUP(TRIM(A387),TRIM('Espai x esquema'!$A:$A),'Espai x esquema'!$E:$E,"",0))</f>
        <v>No</v>
      </c>
    </row>
    <row r="388" spans="1:11">
      <c r="A388" t="s">
        <v>891</v>
      </c>
      <c r="B388" t="s">
        <v>892</v>
      </c>
      <c r="C388">
        <v>144</v>
      </c>
      <c r="D388">
        <f>new_212__3[[#This Row],[MBYTES]]/1024</f>
        <v>0.140625</v>
      </c>
      <c r="E388" s="3" t="s">
        <v>5</v>
      </c>
      <c r="K388" t="str" cm="1">
        <f t="array" ref="K388">IF(_xlfn.XLOOKUP(TRIM(A388),TRIM('Espai x esquema'!$A:$A),'Espai x esquema'!$E:$E,"",0)="Sí, però",
   "Sí",
   _xlfn.XLOOKUP(TRIM(A388),TRIM('Espai x esquema'!$A:$A),'Espai x esquema'!$E:$E,"",0))</f>
        <v>??</v>
      </c>
    </row>
    <row r="389" spans="1:11">
      <c r="A389" t="s">
        <v>893</v>
      </c>
      <c r="B389" t="s">
        <v>894</v>
      </c>
      <c r="C389">
        <v>136</v>
      </c>
      <c r="D389">
        <v>0.1328125</v>
      </c>
      <c r="E389" s="3" t="s">
        <v>6</v>
      </c>
      <c r="F389" t="s">
        <v>116</v>
      </c>
      <c r="G389" t="s">
        <v>422</v>
      </c>
      <c r="K389" t="str" cm="1">
        <f t="array" ref="K389">IF(_xlfn.XLOOKUP(TRIM(A389),TRIM('Espai x esquema'!$A:$A),'Espai x esquema'!$E:$E,"",0)="Sí, però",
   "Sí",
   _xlfn.XLOOKUP(TRIM(A389),TRIM('Espai x esquema'!$A:$A),'Espai x esquema'!$E:$E,"",0))</f>
        <v>Sí</v>
      </c>
    </row>
    <row r="390" spans="1:11">
      <c r="A390" t="s">
        <v>681</v>
      </c>
      <c r="B390" t="s">
        <v>895</v>
      </c>
      <c r="C390">
        <v>136</v>
      </c>
      <c r="D390">
        <v>0.1328125</v>
      </c>
      <c r="E390" s="3" t="s">
        <v>6</v>
      </c>
      <c r="F390" t="s">
        <v>116</v>
      </c>
      <c r="G390" t="s">
        <v>422</v>
      </c>
      <c r="K390" t="str" cm="1">
        <f t="array" ref="K390">IF(_xlfn.XLOOKUP(TRIM(A390),TRIM('Espai x esquema'!$A:$A),'Espai x esquema'!$E:$E,"",0)="Sí, però",
   "Sí",
   _xlfn.XLOOKUP(TRIM(A390),TRIM('Espai x esquema'!$A:$A),'Espai x esquema'!$E:$E,"",0))</f>
        <v>No</v>
      </c>
    </row>
    <row r="391" spans="1:11">
      <c r="A391" t="s">
        <v>685</v>
      </c>
      <c r="B391" t="s">
        <v>896</v>
      </c>
      <c r="C391">
        <v>136</v>
      </c>
      <c r="D391">
        <v>0.1328125</v>
      </c>
      <c r="E391" s="3" t="s">
        <v>6</v>
      </c>
      <c r="F391" t="s">
        <v>116</v>
      </c>
      <c r="G391" t="s">
        <v>422</v>
      </c>
      <c r="K391" t="str" cm="1">
        <f t="array" ref="K391">IF(_xlfn.XLOOKUP(TRIM(A391),TRIM('Espai x esquema'!$A:$A),'Espai x esquema'!$E:$E,"",0)="Sí, però",
   "Sí",
   _xlfn.XLOOKUP(TRIM(A391),TRIM('Espai x esquema'!$A:$A),'Espai x esquema'!$E:$E,"",0))</f>
        <v>No</v>
      </c>
    </row>
    <row r="392" spans="1:11">
      <c r="A392" t="s">
        <v>822</v>
      </c>
      <c r="B392" t="s">
        <v>503</v>
      </c>
      <c r="C392">
        <v>136</v>
      </c>
      <c r="D392">
        <v>0.1328125</v>
      </c>
      <c r="E392" s="3" t="s">
        <v>6</v>
      </c>
      <c r="F392" t="s">
        <v>116</v>
      </c>
      <c r="G392" t="s">
        <v>422</v>
      </c>
      <c r="H392" t="s">
        <v>504</v>
      </c>
      <c r="K392" t="str" cm="1">
        <f t="array" ref="K392">IF(_xlfn.XLOOKUP(TRIM(A392),TRIM('Espai x esquema'!$A:$A),'Espai x esquema'!$E:$E,"",0)="Sí, però",
   "Sí",
   _xlfn.XLOOKUP(TRIM(A392),TRIM('Espai x esquema'!$A:$A),'Espai x esquema'!$E:$E,"",0))</f>
        <v>??</v>
      </c>
    </row>
    <row r="393" spans="1:11">
      <c r="A393" t="s">
        <v>557</v>
      </c>
      <c r="B393" t="s">
        <v>897</v>
      </c>
      <c r="C393">
        <v>136</v>
      </c>
      <c r="D393">
        <v>0.1328125</v>
      </c>
      <c r="E393" s="3" t="s">
        <v>6</v>
      </c>
      <c r="F393" t="s">
        <v>116</v>
      </c>
      <c r="G393" t="s">
        <v>422</v>
      </c>
      <c r="K393" t="str" cm="1">
        <f t="array" ref="K393">IF(_xlfn.XLOOKUP(TRIM(A393),TRIM('Espai x esquema'!$A:$A),'Espai x esquema'!$E:$E,"",0)="Sí, però",
   "Sí",
   _xlfn.XLOOKUP(TRIM(A393),TRIM('Espai x esquema'!$A:$A),'Espai x esquema'!$E:$E,"",0))</f>
        <v>No</v>
      </c>
    </row>
    <row r="394" spans="1:11">
      <c r="A394" t="s">
        <v>17</v>
      </c>
      <c r="B394" t="s">
        <v>898</v>
      </c>
      <c r="C394">
        <v>136</v>
      </c>
      <c r="D394">
        <f>new_212__3[[#This Row],[MBYTES]]/1024</f>
        <v>0.1328125</v>
      </c>
      <c r="E394" s="3" t="s">
        <v>8</v>
      </c>
      <c r="F394" t="s">
        <v>84</v>
      </c>
      <c r="H394" t="s">
        <v>520</v>
      </c>
      <c r="J394" t="s">
        <v>5</v>
      </c>
      <c r="K394" t="str" cm="1">
        <f t="array" ref="K394">IF(_xlfn.XLOOKUP(TRIM(A394),TRIM('Espai x esquema'!$A:$A),'Espai x esquema'!$E:$E,"",0)="Sí, però",
   "Sí",
   _xlfn.XLOOKUP(TRIM(A394),TRIM('Espai x esquema'!$A:$A),'Espai x esquema'!$E:$E,"",0))</f>
        <v>??</v>
      </c>
    </row>
    <row r="395" spans="1:11">
      <c r="A395" t="s">
        <v>34</v>
      </c>
      <c r="B395" t="s">
        <v>899</v>
      </c>
      <c r="C395">
        <v>136</v>
      </c>
      <c r="D395">
        <f>new_212__3[[#This Row],[MBYTES]]/1024</f>
        <v>0.1328125</v>
      </c>
      <c r="E395" s="3" t="s">
        <v>8</v>
      </c>
      <c r="F395" t="s">
        <v>84</v>
      </c>
      <c r="G395" t="s">
        <v>589</v>
      </c>
      <c r="J395" t="s">
        <v>15</v>
      </c>
      <c r="K395" t="str" cm="1">
        <f t="array" ref="K395">IF(_xlfn.XLOOKUP(TRIM(A395),TRIM('Espai x esquema'!$A:$A),'Espai x esquema'!$E:$E,"",0)="Sí, però",
   "Sí",
   _xlfn.XLOOKUP(TRIM(A395),TRIM('Espai x esquema'!$A:$A),'Espai x esquema'!$E:$E,"",0))</f>
        <v>No</v>
      </c>
    </row>
    <row r="396" spans="1:11">
      <c r="A396" t="s">
        <v>469</v>
      </c>
      <c r="B396" t="s">
        <v>900</v>
      </c>
      <c r="C396">
        <v>136</v>
      </c>
      <c r="D396">
        <f>new_212__3[[#This Row],[MBYTES]]/1024</f>
        <v>0.1328125</v>
      </c>
      <c r="E396" s="3" t="s">
        <v>6</v>
      </c>
      <c r="F396" t="s">
        <v>84</v>
      </c>
      <c r="K396" t="str" cm="1">
        <f t="array" ref="K396">IF(_xlfn.XLOOKUP(TRIM(A396),TRIM('Espai x esquema'!$A:$A),'Espai x esquema'!$E:$E,"",0)="Sí, però",
   "Sí",
   _xlfn.XLOOKUP(TRIM(A396),TRIM('Espai x esquema'!$A:$A),'Espai x esquema'!$E:$E,"",0))</f>
        <v>No</v>
      </c>
    </row>
    <row r="397" spans="1:11">
      <c r="A397" t="s">
        <v>415</v>
      </c>
      <c r="B397" t="s">
        <v>901</v>
      </c>
      <c r="C397">
        <v>136</v>
      </c>
      <c r="D397">
        <f>new_212__3[[#This Row],[MBYTES]]/1024</f>
        <v>0.1328125</v>
      </c>
      <c r="E397" s="3" t="s">
        <v>6</v>
      </c>
      <c r="F397" t="s">
        <v>84</v>
      </c>
      <c r="G397" t="s">
        <v>428</v>
      </c>
      <c r="K397" t="str" cm="1">
        <f t="array" ref="K397">IF(_xlfn.XLOOKUP(TRIM(A397),TRIM('Espai x esquema'!$A:$A),'Espai x esquema'!$E:$E,"",0)="Sí, però",
   "Sí",
   _xlfn.XLOOKUP(TRIM(A397),TRIM('Espai x esquema'!$A:$A),'Espai x esquema'!$E:$E,"",0))</f>
        <v>No</v>
      </c>
    </row>
    <row r="398" spans="1:11">
      <c r="A398" t="s">
        <v>41</v>
      </c>
      <c r="B398" t="s">
        <v>680</v>
      </c>
      <c r="C398">
        <v>128</v>
      </c>
      <c r="D398">
        <v>0.125</v>
      </c>
      <c r="E398" s="3" t="s">
        <v>8</v>
      </c>
      <c r="F398" t="s">
        <v>116</v>
      </c>
      <c r="G398" t="s">
        <v>422</v>
      </c>
      <c r="H398" t="s">
        <v>694</v>
      </c>
      <c r="J398" t="s">
        <v>31</v>
      </c>
      <c r="K398" t="str" cm="1">
        <f t="array" ref="K398">IF(_xlfn.XLOOKUP(TRIM(A398),TRIM('Espai x esquema'!$A:$A),'Espai x esquema'!$E:$E,"",0)="Sí, però",
   "Sí",
   _xlfn.XLOOKUP(TRIM(A398),TRIM('Espai x esquema'!$A:$A),'Espai x esquema'!$E:$E,"",0))</f>
        <v>Sí</v>
      </c>
    </row>
    <row r="399" spans="1:11">
      <c r="A399" t="s">
        <v>745</v>
      </c>
      <c r="B399" t="s">
        <v>902</v>
      </c>
      <c r="C399">
        <v>128</v>
      </c>
      <c r="D399">
        <v>0.125</v>
      </c>
      <c r="E399" s="3" t="s">
        <v>6</v>
      </c>
      <c r="F399" t="s">
        <v>116</v>
      </c>
      <c r="G399" t="s">
        <v>422</v>
      </c>
      <c r="K399" t="str" cm="1">
        <f t="array" ref="K399">IF(_xlfn.XLOOKUP(TRIM(A399),TRIM('Espai x esquema'!$A:$A),'Espai x esquema'!$E:$E,"",0)="Sí, però",
   "Sí",
   _xlfn.XLOOKUP(TRIM(A399),TRIM('Espai x esquema'!$A:$A),'Espai x esquema'!$E:$E,"",0))</f>
        <v>No</v>
      </c>
    </row>
    <row r="400" spans="1:11">
      <c r="A400" t="s">
        <v>475</v>
      </c>
      <c r="B400" t="s">
        <v>903</v>
      </c>
      <c r="C400">
        <v>128</v>
      </c>
      <c r="D400">
        <v>0.125</v>
      </c>
      <c r="E400" s="3" t="s">
        <v>6</v>
      </c>
      <c r="F400" t="s">
        <v>116</v>
      </c>
      <c r="G400" t="s">
        <v>422</v>
      </c>
      <c r="K400" t="str" cm="1">
        <f t="array" ref="K400">IF(_xlfn.XLOOKUP(TRIM(A400),TRIM('Espai x esquema'!$A:$A),'Espai x esquema'!$E:$E,"",0)="Sí, però",
   "Sí",
   _xlfn.XLOOKUP(TRIM(A400),TRIM('Espai x esquema'!$A:$A),'Espai x esquema'!$E:$E,"",0))</f>
        <v>No</v>
      </c>
    </row>
    <row r="401" spans="1:11">
      <c r="A401" t="s">
        <v>475</v>
      </c>
      <c r="B401" t="s">
        <v>904</v>
      </c>
      <c r="C401">
        <v>128</v>
      </c>
      <c r="D401">
        <v>0.125</v>
      </c>
      <c r="E401" s="3" t="s">
        <v>6</v>
      </c>
      <c r="F401" t="s">
        <v>116</v>
      </c>
      <c r="G401" t="s">
        <v>422</v>
      </c>
      <c r="H401" t="s">
        <v>488</v>
      </c>
      <c r="K401" t="str" cm="1">
        <f t="array" ref="K401">IF(_xlfn.XLOOKUP(TRIM(A401),TRIM('Espai x esquema'!$A:$A),'Espai x esquema'!$E:$E,"",0)="Sí, però",
   "Sí",
   _xlfn.XLOOKUP(TRIM(A401),TRIM('Espai x esquema'!$A:$A),'Espai x esquema'!$E:$E,"",0))</f>
        <v>No</v>
      </c>
    </row>
    <row r="402" spans="1:11">
      <c r="A402" t="s">
        <v>573</v>
      </c>
      <c r="B402" t="s">
        <v>905</v>
      </c>
      <c r="C402">
        <v>128</v>
      </c>
      <c r="D402">
        <f>new_212__3[[#This Row],[MBYTES]]/1024</f>
        <v>0.125</v>
      </c>
      <c r="E402" s="3" t="s">
        <v>6</v>
      </c>
      <c r="F402" t="s">
        <v>84</v>
      </c>
      <c r="K402" t="str" cm="1">
        <f t="array" ref="K402">IF(_xlfn.XLOOKUP(TRIM(A402),TRIM('Espai x esquema'!$A:$A),'Espai x esquema'!$E:$E,"",0)="Sí, però",
   "Sí",
   _xlfn.XLOOKUP(TRIM(A402),TRIM('Espai x esquema'!$A:$A),'Espai x esquema'!$E:$E,"",0))</f>
        <v>No</v>
      </c>
    </row>
    <row r="403" spans="1:11">
      <c r="A403" t="s">
        <v>451</v>
      </c>
      <c r="B403" t="s">
        <v>906</v>
      </c>
      <c r="C403">
        <v>128</v>
      </c>
      <c r="D403">
        <f>new_212__3[[#This Row],[MBYTES]]/1024</f>
        <v>0.125</v>
      </c>
      <c r="E403" s="3" t="s">
        <v>6</v>
      </c>
      <c r="F403" t="s">
        <v>84</v>
      </c>
      <c r="H403" t="s">
        <v>440</v>
      </c>
      <c r="K403" t="str" cm="1">
        <f t="array" ref="K403">IF(_xlfn.XLOOKUP(TRIM(A403),TRIM('Espai x esquema'!$A:$A),'Espai x esquema'!$E:$E,"",0)="Sí, però",
   "Sí",
   _xlfn.XLOOKUP(TRIM(A403),TRIM('Espai x esquema'!$A:$A),'Espai x esquema'!$E:$E,"",0))</f>
        <v>No</v>
      </c>
    </row>
    <row r="404" spans="1:11">
      <c r="A404" t="s">
        <v>445</v>
      </c>
      <c r="B404" t="s">
        <v>907</v>
      </c>
      <c r="C404">
        <v>128</v>
      </c>
      <c r="D404">
        <f>new_212__3[[#This Row],[MBYTES]]/1024</f>
        <v>0.125</v>
      </c>
      <c r="E404" s="3" t="s">
        <v>6</v>
      </c>
      <c r="F404" t="s">
        <v>84</v>
      </c>
      <c r="H404" t="s">
        <v>440</v>
      </c>
      <c r="K404" t="str" cm="1">
        <f t="array" ref="K404">IF(_xlfn.XLOOKUP(TRIM(A404),TRIM('Espai x esquema'!$A:$A),'Espai x esquema'!$E:$E,"",0)="Sí, però",
   "Sí",
   _xlfn.XLOOKUP(TRIM(A404),TRIM('Espai x esquema'!$A:$A),'Espai x esquema'!$E:$E,"",0))</f>
        <v>No</v>
      </c>
    </row>
    <row r="405" spans="1:11">
      <c r="A405" t="s">
        <v>24</v>
      </c>
      <c r="B405" t="s">
        <v>666</v>
      </c>
      <c r="C405">
        <v>128</v>
      </c>
      <c r="D405">
        <f>new_212__3[[#This Row],[MBYTES]]/1024</f>
        <v>0.125</v>
      </c>
      <c r="E405" s="3" t="s">
        <v>6</v>
      </c>
      <c r="F405" t="s">
        <v>84</v>
      </c>
      <c r="G405" t="s">
        <v>474</v>
      </c>
      <c r="K405" t="str" cm="1">
        <f t="array" ref="K405">IF(_xlfn.XLOOKUP(TRIM(A405),TRIM('Espai x esquema'!$A:$A),'Espai x esquema'!$E:$E,"",0)="Sí, però",
   "Sí",
   _xlfn.XLOOKUP(TRIM(A405),TRIM('Espai x esquema'!$A:$A),'Espai x esquema'!$E:$E,"",0))</f>
        <v>No</v>
      </c>
    </row>
    <row r="406" spans="1:11">
      <c r="A406" t="s">
        <v>548</v>
      </c>
      <c r="B406" t="s">
        <v>908</v>
      </c>
      <c r="C406">
        <v>128</v>
      </c>
      <c r="D406">
        <f>new_212__3[[#This Row],[MBYTES]]/1024</f>
        <v>0.125</v>
      </c>
      <c r="E406" s="3" t="s">
        <v>6</v>
      </c>
      <c r="F406" t="s">
        <v>84</v>
      </c>
      <c r="G406" t="s">
        <v>417</v>
      </c>
      <c r="K406" t="str" cm="1">
        <f t="array" ref="K406">IF(_xlfn.XLOOKUP(TRIM(A406),TRIM('Espai x esquema'!$A:$A),'Espai x esquema'!$E:$E,"",0)="Sí, però",
   "Sí",
   _xlfn.XLOOKUP(TRIM(A406),TRIM('Espai x esquema'!$A:$A),'Espai x esquema'!$E:$E,"",0))</f>
        <v>No</v>
      </c>
    </row>
    <row r="407" spans="1:11">
      <c r="A407" t="s">
        <v>909</v>
      </c>
      <c r="B407" t="s">
        <v>910</v>
      </c>
      <c r="C407">
        <v>128</v>
      </c>
      <c r="D407">
        <f>new_212__3[[#This Row],[MBYTES]]/1024</f>
        <v>0.125</v>
      </c>
      <c r="E407" s="3" t="s">
        <v>6</v>
      </c>
      <c r="F407" t="s">
        <v>84</v>
      </c>
      <c r="K407" t="str" cm="1">
        <f t="array" ref="K407">IF(_xlfn.XLOOKUP(TRIM(A407),TRIM('Espai x esquema'!$A:$A),'Espai x esquema'!$E:$E,"",0)="Sí, però",
   "Sí",
   _xlfn.XLOOKUP(TRIM(A407),TRIM('Espai x esquema'!$A:$A),'Espai x esquema'!$E:$E,"",0))</f>
        <v>No</v>
      </c>
    </row>
    <row r="408" spans="1:11">
      <c r="A408" t="s">
        <v>30</v>
      </c>
      <c r="B408" t="s">
        <v>911</v>
      </c>
      <c r="C408">
        <v>128</v>
      </c>
      <c r="D408">
        <f>new_212__3[[#This Row],[MBYTES]]/1024</f>
        <v>0.125</v>
      </c>
      <c r="E408" s="3" t="s">
        <v>8</v>
      </c>
      <c r="F408" t="s">
        <v>84</v>
      </c>
      <c r="J408" t="s">
        <v>15</v>
      </c>
      <c r="K408" t="str" cm="1">
        <f t="array" ref="K408">IF(_xlfn.XLOOKUP(TRIM(A408),TRIM('Espai x esquema'!$A:$A),'Espai x esquema'!$E:$E,"",0)="Sí, però",
   "Sí",
   _xlfn.XLOOKUP(TRIM(A408),TRIM('Espai x esquema'!$A:$A),'Espai x esquema'!$E:$E,"",0))</f>
        <v>No</v>
      </c>
    </row>
    <row r="409" spans="1:11">
      <c r="A409" t="s">
        <v>912</v>
      </c>
      <c r="B409" t="s">
        <v>408</v>
      </c>
      <c r="C409">
        <v>128</v>
      </c>
      <c r="D409">
        <f>new_212__3[[#This Row],[MBYTES]]/1024</f>
        <v>0.125</v>
      </c>
      <c r="E409" s="3" t="s">
        <v>6</v>
      </c>
      <c r="F409" t="s">
        <v>84</v>
      </c>
      <c r="G409" t="s">
        <v>417</v>
      </c>
      <c r="K409" t="str" cm="1">
        <f t="array" ref="K409">IF(_xlfn.XLOOKUP(TRIM(A409),TRIM('Espai x esquema'!$A:$A),'Espai x esquema'!$E:$E,"",0)="Sí, però",
   "Sí",
   _xlfn.XLOOKUP(TRIM(A409),TRIM('Espai x esquema'!$A:$A),'Espai x esquema'!$E:$E,"",0))</f>
        <v>No</v>
      </c>
    </row>
    <row r="410" spans="1:11">
      <c r="A410" t="s">
        <v>469</v>
      </c>
      <c r="B410" t="s">
        <v>913</v>
      </c>
      <c r="C410">
        <v>128</v>
      </c>
      <c r="D410">
        <f>new_212__3[[#This Row],[MBYTES]]/1024</f>
        <v>0.125</v>
      </c>
      <c r="E410" s="3" t="s">
        <v>6</v>
      </c>
      <c r="F410" t="s">
        <v>84</v>
      </c>
      <c r="K410" t="str" cm="1">
        <f t="array" ref="K410">IF(_xlfn.XLOOKUP(TRIM(A410),TRIM('Espai x esquema'!$A:$A),'Espai x esquema'!$E:$E,"",0)="Sí, però",
   "Sí",
   _xlfn.XLOOKUP(TRIM(A410),TRIM('Espai x esquema'!$A:$A),'Espai x esquema'!$E:$E,"",0))</f>
        <v>No</v>
      </c>
    </row>
    <row r="411" spans="1:11">
      <c r="A411" t="s">
        <v>469</v>
      </c>
      <c r="B411" t="s">
        <v>914</v>
      </c>
      <c r="C411">
        <v>128</v>
      </c>
      <c r="D411">
        <f>new_212__3[[#This Row],[MBYTES]]/1024</f>
        <v>0.125</v>
      </c>
      <c r="E411" s="3" t="s">
        <v>6</v>
      </c>
      <c r="F411" t="s">
        <v>84</v>
      </c>
      <c r="K411" t="str" cm="1">
        <f t="array" ref="K411">IF(_xlfn.XLOOKUP(TRIM(A411),TRIM('Espai x esquema'!$A:$A),'Espai x esquema'!$E:$E,"",0)="Sí, però",
   "Sí",
   _xlfn.XLOOKUP(TRIM(A411),TRIM('Espai x esquema'!$A:$A),'Espai x esquema'!$E:$E,"",0))</f>
        <v>No</v>
      </c>
    </row>
    <row r="412" spans="1:11">
      <c r="A412" t="s">
        <v>41</v>
      </c>
      <c r="B412" t="s">
        <v>677</v>
      </c>
      <c r="C412">
        <v>120</v>
      </c>
      <c r="D412">
        <v>0.1171875</v>
      </c>
      <c r="E412" s="3" t="s">
        <v>8</v>
      </c>
      <c r="F412" t="s">
        <v>116</v>
      </c>
      <c r="G412" t="s">
        <v>422</v>
      </c>
      <c r="H412" t="s">
        <v>694</v>
      </c>
      <c r="J412" t="s">
        <v>31</v>
      </c>
      <c r="K412" t="str" cm="1">
        <f t="array" ref="K412">IF(_xlfn.XLOOKUP(TRIM(A412),TRIM('Espai x esquema'!$A:$A),'Espai x esquema'!$E:$E,"",0)="Sí, però",
   "Sí",
   _xlfn.XLOOKUP(TRIM(A412),TRIM('Espai x esquema'!$A:$A),'Espai x esquema'!$E:$E,"",0))</f>
        <v>Sí</v>
      </c>
    </row>
    <row r="413" spans="1:11">
      <c r="A413" t="s">
        <v>513</v>
      </c>
      <c r="B413" t="s">
        <v>915</v>
      </c>
      <c r="C413">
        <v>120</v>
      </c>
      <c r="D413">
        <v>0.1171875</v>
      </c>
      <c r="E413" s="3" t="s">
        <v>6</v>
      </c>
      <c r="F413" t="s">
        <v>116</v>
      </c>
      <c r="G413" t="s">
        <v>422</v>
      </c>
      <c r="K413" t="str" cm="1">
        <f t="array" ref="K413">IF(_xlfn.XLOOKUP(TRIM(A413),TRIM('Espai x esquema'!$A:$A),'Espai x esquema'!$E:$E,"",0)="Sí, però",
   "Sí",
   _xlfn.XLOOKUP(TRIM(A413),TRIM('Espai x esquema'!$A:$A),'Espai x esquema'!$E:$E,"",0))</f>
        <v>No</v>
      </c>
    </row>
    <row r="414" spans="1:11">
      <c r="A414" t="s">
        <v>681</v>
      </c>
      <c r="B414" t="s">
        <v>916</v>
      </c>
      <c r="C414">
        <v>120</v>
      </c>
      <c r="D414">
        <v>0.1171875</v>
      </c>
      <c r="E414" s="3" t="s">
        <v>6</v>
      </c>
      <c r="F414" t="s">
        <v>116</v>
      </c>
      <c r="G414" t="s">
        <v>422</v>
      </c>
      <c r="K414" t="str" cm="1">
        <f t="array" ref="K414">IF(_xlfn.XLOOKUP(TRIM(A414),TRIM('Espai x esquema'!$A:$A),'Espai x esquema'!$E:$E,"",0)="Sí, però",
   "Sí",
   _xlfn.XLOOKUP(TRIM(A414),TRIM('Espai x esquema'!$A:$A),'Espai x esquema'!$E:$E,"",0))</f>
        <v>No</v>
      </c>
    </row>
    <row r="415" spans="1:11">
      <c r="A415" t="s">
        <v>681</v>
      </c>
      <c r="B415" t="s">
        <v>917</v>
      </c>
      <c r="C415">
        <v>120</v>
      </c>
      <c r="D415">
        <v>0.1171875</v>
      </c>
      <c r="E415" s="3" t="s">
        <v>6</v>
      </c>
      <c r="F415" t="s">
        <v>116</v>
      </c>
      <c r="G415" t="s">
        <v>422</v>
      </c>
      <c r="K415" t="str" cm="1">
        <f t="array" ref="K415">IF(_xlfn.XLOOKUP(TRIM(A415),TRIM('Espai x esquema'!$A:$A),'Espai x esquema'!$E:$E,"",0)="Sí, però",
   "Sí",
   _xlfn.XLOOKUP(TRIM(A415),TRIM('Espai x esquema'!$A:$A),'Espai x esquema'!$E:$E,"",0))</f>
        <v>No</v>
      </c>
    </row>
    <row r="416" spans="1:11">
      <c r="A416" t="s">
        <v>489</v>
      </c>
      <c r="B416" t="s">
        <v>918</v>
      </c>
      <c r="C416">
        <v>120</v>
      </c>
      <c r="D416">
        <v>0.1171875</v>
      </c>
      <c r="E416" s="3" t="s">
        <v>6</v>
      </c>
      <c r="F416" t="s">
        <v>116</v>
      </c>
      <c r="G416" t="s">
        <v>422</v>
      </c>
      <c r="K416" t="str" cm="1">
        <f t="array" ref="K416">IF(_xlfn.XLOOKUP(TRIM(A416),TRIM('Espai x esquema'!$A:$A),'Espai x esquema'!$E:$E,"",0)="Sí, però",
   "Sí",
   _xlfn.XLOOKUP(TRIM(A416),TRIM('Espai x esquema'!$A:$A),'Espai x esquema'!$E:$E,"",0))</f>
        <v>No</v>
      </c>
    </row>
    <row r="417" spans="1:11">
      <c r="A417" t="s">
        <v>601</v>
      </c>
      <c r="B417" t="s">
        <v>919</v>
      </c>
      <c r="C417">
        <v>120</v>
      </c>
      <c r="D417">
        <v>0.1171875</v>
      </c>
      <c r="E417" s="3" t="s">
        <v>6</v>
      </c>
      <c r="F417" t="s">
        <v>116</v>
      </c>
      <c r="G417" t="s">
        <v>422</v>
      </c>
      <c r="K417" t="str" cm="1">
        <f t="array" ref="K417">IF(_xlfn.XLOOKUP(TRIM(A417),TRIM('Espai x esquema'!$A:$A),'Espai x esquema'!$E:$E,"",0)="Sí, però",
   "Sí",
   _xlfn.XLOOKUP(TRIM(A417),TRIM('Espai x esquema'!$A:$A),'Espai x esquema'!$E:$E,"",0))</f>
        <v>No</v>
      </c>
    </row>
    <row r="418" spans="1:11">
      <c r="A418" t="s">
        <v>685</v>
      </c>
      <c r="B418" t="s">
        <v>920</v>
      </c>
      <c r="C418">
        <v>120</v>
      </c>
      <c r="D418">
        <v>0.1171875</v>
      </c>
      <c r="E418" s="3" t="s">
        <v>6</v>
      </c>
      <c r="F418" t="s">
        <v>116</v>
      </c>
      <c r="G418" t="s">
        <v>422</v>
      </c>
      <c r="K418" t="str" cm="1">
        <f t="array" ref="K418">IF(_xlfn.XLOOKUP(TRIM(A418),TRIM('Espai x esquema'!$A:$A),'Espai x esquema'!$E:$E,"",0)="Sí, però",
   "Sí",
   _xlfn.XLOOKUP(TRIM(A418),TRIM('Espai x esquema'!$A:$A),'Espai x esquema'!$E:$E,"",0))</f>
        <v>No</v>
      </c>
    </row>
    <row r="419" spans="1:11">
      <c r="A419" t="s">
        <v>17</v>
      </c>
      <c r="B419" t="s">
        <v>921</v>
      </c>
      <c r="C419">
        <v>120</v>
      </c>
      <c r="D419">
        <f>new_212__3[[#This Row],[MBYTES]]/1024</f>
        <v>0.1171875</v>
      </c>
      <c r="E419" s="3" t="s">
        <v>8</v>
      </c>
      <c r="F419" t="s">
        <v>84</v>
      </c>
      <c r="H419" t="s">
        <v>520</v>
      </c>
      <c r="J419" t="s">
        <v>5</v>
      </c>
      <c r="K419" t="str" cm="1">
        <f t="array" ref="K419">IF(_xlfn.XLOOKUP(TRIM(A419),TRIM('Espai x esquema'!$A:$A),'Espai x esquema'!$E:$E,"",0)="Sí, però",
   "Sí",
   _xlfn.XLOOKUP(TRIM(A419),TRIM('Espai x esquema'!$A:$A),'Espai x esquema'!$E:$E,"",0))</f>
        <v>??</v>
      </c>
    </row>
    <row r="420" spans="1:11">
      <c r="A420" t="s">
        <v>922</v>
      </c>
      <c r="B420" t="s">
        <v>923</v>
      </c>
      <c r="C420">
        <v>120</v>
      </c>
      <c r="D420">
        <f>new_212__3[[#This Row],[MBYTES]]/1024</f>
        <v>0.1171875</v>
      </c>
      <c r="E420" s="3" t="s">
        <v>6</v>
      </c>
      <c r="F420" t="s">
        <v>84</v>
      </c>
      <c r="K420" t="str" cm="1">
        <f t="array" ref="K420">IF(_xlfn.XLOOKUP(TRIM(A420),TRIM('Espai x esquema'!$A:$A),'Espai x esquema'!$E:$E,"",0)="Sí, però",
   "Sí",
   _xlfn.XLOOKUP(TRIM(A420),TRIM('Espai x esquema'!$A:$A),'Espai x esquema'!$E:$E,"",0))</f>
        <v>No</v>
      </c>
    </row>
    <row r="421" spans="1:11">
      <c r="A421" t="s">
        <v>548</v>
      </c>
      <c r="B421" t="s">
        <v>924</v>
      </c>
      <c r="C421">
        <v>120</v>
      </c>
      <c r="D421">
        <f>new_212__3[[#This Row],[MBYTES]]/1024</f>
        <v>0.1171875</v>
      </c>
      <c r="E421" s="3" t="s">
        <v>6</v>
      </c>
      <c r="F421" t="s">
        <v>84</v>
      </c>
      <c r="G421" t="s">
        <v>550</v>
      </c>
      <c r="K421" t="str" cm="1">
        <f t="array" ref="K421">IF(_xlfn.XLOOKUP(TRIM(A421),TRIM('Espai x esquema'!$A:$A),'Espai x esquema'!$E:$E,"",0)="Sí, però",
   "Sí",
   _xlfn.XLOOKUP(TRIM(A421),TRIM('Espai x esquema'!$A:$A),'Espai x esquema'!$E:$E,"",0))</f>
        <v>No</v>
      </c>
    </row>
    <row r="422" spans="1:11">
      <c r="A422" t="s">
        <v>28</v>
      </c>
      <c r="B422" t="s">
        <v>925</v>
      </c>
      <c r="C422">
        <v>120</v>
      </c>
      <c r="D422">
        <f>new_212__3[[#This Row],[MBYTES]]/1024</f>
        <v>0.1171875</v>
      </c>
      <c r="E422" s="3" t="s">
        <v>8</v>
      </c>
      <c r="F422" t="s">
        <v>84</v>
      </c>
      <c r="G422" t="s">
        <v>706</v>
      </c>
      <c r="J422" t="s">
        <v>15</v>
      </c>
      <c r="K422" t="str" cm="1">
        <f t="array" ref="K422">IF(_xlfn.XLOOKUP(TRIM(A422),TRIM('Espai x esquema'!$A:$A),'Espai x esquema'!$E:$E,"",0)="Sí, però",
   "Sí",
   _xlfn.XLOOKUP(TRIM(A422),TRIM('Espai x esquema'!$A:$A),'Espai x esquema'!$E:$E,"",0))</f>
        <v>Sí</v>
      </c>
    </row>
    <row r="423" spans="1:11">
      <c r="A423" t="s">
        <v>415</v>
      </c>
      <c r="B423" t="s">
        <v>926</v>
      </c>
      <c r="C423">
        <v>120</v>
      </c>
      <c r="D423">
        <f>new_212__3[[#This Row],[MBYTES]]/1024</f>
        <v>0.1171875</v>
      </c>
      <c r="E423" s="3" t="s">
        <v>6</v>
      </c>
      <c r="F423" t="s">
        <v>84</v>
      </c>
      <c r="K423" t="str" cm="1">
        <f t="array" ref="K423">IF(_xlfn.XLOOKUP(TRIM(A423),TRIM('Espai x esquema'!$A:$A),'Espai x esquema'!$E:$E,"",0)="Sí, però",
   "Sí",
   _xlfn.XLOOKUP(TRIM(A423),TRIM('Espai x esquema'!$A:$A),'Espai x esquema'!$E:$E,"",0))</f>
        <v>No</v>
      </c>
    </row>
    <row r="424" spans="1:11">
      <c r="A424" t="s">
        <v>48</v>
      </c>
      <c r="B424" t="s">
        <v>927</v>
      </c>
      <c r="C424">
        <v>120</v>
      </c>
      <c r="D424">
        <f>new_212__3[[#This Row],[MBYTES]]/1024</f>
        <v>0.1171875</v>
      </c>
      <c r="E424" s="3" t="s">
        <v>6</v>
      </c>
      <c r="F424" t="s">
        <v>101</v>
      </c>
      <c r="G424" t="s">
        <v>617</v>
      </c>
      <c r="H424" t="s">
        <v>618</v>
      </c>
      <c r="K424" t="str" cm="1">
        <f t="array" ref="K424">IF(_xlfn.XLOOKUP(TRIM(A424),TRIM('Espai x esquema'!$A:$A),'Espai x esquema'!$E:$E,"",0)="Sí, però",
   "Sí",
   _xlfn.XLOOKUP(TRIM(A424),TRIM('Espai x esquema'!$A:$A),'Espai x esquema'!$E:$E,"",0))</f>
        <v>No</v>
      </c>
    </row>
    <row r="425" spans="1:11">
      <c r="A425" t="s">
        <v>928</v>
      </c>
      <c r="B425" t="s">
        <v>929</v>
      </c>
      <c r="C425">
        <v>116</v>
      </c>
      <c r="D425">
        <v>0.11328125</v>
      </c>
      <c r="E425" s="3" t="s">
        <v>6</v>
      </c>
      <c r="F425" t="s">
        <v>116</v>
      </c>
      <c r="G425" t="s">
        <v>422</v>
      </c>
      <c r="K425" t="str" cm="1">
        <f t="array" ref="K425">IF(_xlfn.XLOOKUP(TRIM(A425),TRIM('Espai x esquema'!$A:$A),'Espai x esquema'!$E:$E,"",0)="Sí, però",
   "Sí",
   _xlfn.XLOOKUP(TRIM(A425),TRIM('Espai x esquema'!$A:$A),'Espai x esquema'!$E:$E,"",0))</f>
        <v>Sí</v>
      </c>
    </row>
    <row r="426" spans="1:11">
      <c r="A426" t="s">
        <v>685</v>
      </c>
      <c r="B426" t="s">
        <v>930</v>
      </c>
      <c r="C426">
        <v>116</v>
      </c>
      <c r="D426">
        <v>0.11328125</v>
      </c>
      <c r="E426" s="3" t="s">
        <v>6</v>
      </c>
      <c r="F426" t="s">
        <v>116</v>
      </c>
      <c r="G426" t="s">
        <v>422</v>
      </c>
      <c r="K426" t="str" cm="1">
        <f t="array" ref="K426">IF(_xlfn.XLOOKUP(TRIM(A426),TRIM('Espai x esquema'!$A:$A),'Espai x esquema'!$E:$E,"",0)="Sí, però",
   "Sí",
   _xlfn.XLOOKUP(TRIM(A426),TRIM('Espai x esquema'!$A:$A),'Espai x esquema'!$E:$E,"",0))</f>
        <v>No</v>
      </c>
    </row>
    <row r="427" spans="1:11">
      <c r="A427" t="s">
        <v>521</v>
      </c>
      <c r="B427" t="s">
        <v>931</v>
      </c>
      <c r="C427">
        <v>112</v>
      </c>
      <c r="D427">
        <v>0.109375</v>
      </c>
      <c r="E427" s="3" t="s">
        <v>6</v>
      </c>
      <c r="F427" t="s">
        <v>116</v>
      </c>
      <c r="G427" t="s">
        <v>422</v>
      </c>
      <c r="K427" t="str" cm="1">
        <f t="array" ref="K427">IF(_xlfn.XLOOKUP(TRIM(A427),TRIM('Espai x esquema'!$A:$A),'Espai x esquema'!$E:$E,"",0)="Sí, però",
   "Sí",
   _xlfn.XLOOKUP(TRIM(A427),TRIM('Espai x esquema'!$A:$A),'Espai x esquema'!$E:$E,"",0))</f>
        <v>No</v>
      </c>
    </row>
    <row r="428" spans="1:11">
      <c r="A428" t="s">
        <v>681</v>
      </c>
      <c r="B428" t="s">
        <v>932</v>
      </c>
      <c r="C428">
        <v>112</v>
      </c>
      <c r="D428">
        <v>0.109375</v>
      </c>
      <c r="E428" s="3" t="s">
        <v>6</v>
      </c>
      <c r="F428" t="s">
        <v>116</v>
      </c>
      <c r="G428" t="s">
        <v>422</v>
      </c>
      <c r="K428" t="str" cm="1">
        <f t="array" ref="K428">IF(_xlfn.XLOOKUP(TRIM(A428),TRIM('Espai x esquema'!$A:$A),'Espai x esquema'!$E:$E,"",0)="Sí, però",
   "Sí",
   _xlfn.XLOOKUP(TRIM(A428),TRIM('Espai x esquema'!$A:$A),'Espai x esquema'!$E:$E,"",0))</f>
        <v>No</v>
      </c>
    </row>
    <row r="429" spans="1:11">
      <c r="A429" t="s">
        <v>685</v>
      </c>
      <c r="B429" t="s">
        <v>933</v>
      </c>
      <c r="C429">
        <v>112</v>
      </c>
      <c r="D429">
        <v>0.109375</v>
      </c>
      <c r="E429" s="3" t="s">
        <v>6</v>
      </c>
      <c r="F429" t="s">
        <v>116</v>
      </c>
      <c r="G429" t="s">
        <v>422</v>
      </c>
      <c r="K429" t="str" cm="1">
        <f t="array" ref="K429">IF(_xlfn.XLOOKUP(TRIM(A429),TRIM('Espai x esquema'!$A:$A),'Espai x esquema'!$E:$E,"",0)="Sí, però",
   "Sí",
   _xlfn.XLOOKUP(TRIM(A429),TRIM('Espai x esquema'!$A:$A),'Espai x esquema'!$E:$E,"",0))</f>
        <v>No</v>
      </c>
    </row>
    <row r="430" spans="1:11">
      <c r="A430" t="s">
        <v>822</v>
      </c>
      <c r="B430" t="s">
        <v>559</v>
      </c>
      <c r="C430">
        <v>112</v>
      </c>
      <c r="D430">
        <v>0.109375</v>
      </c>
      <c r="E430" s="3" t="s">
        <v>6</v>
      </c>
      <c r="F430" t="s">
        <v>116</v>
      </c>
      <c r="G430" t="s">
        <v>422</v>
      </c>
      <c r="K430" t="str" cm="1">
        <f t="array" ref="K430">IF(_xlfn.XLOOKUP(TRIM(A430),TRIM('Espai x esquema'!$A:$A),'Espai x esquema'!$E:$E,"",0)="Sí, però",
   "Sí",
   _xlfn.XLOOKUP(TRIM(A430),TRIM('Espai x esquema'!$A:$A),'Espai x esquema'!$E:$E,"",0))</f>
        <v>??</v>
      </c>
    </row>
    <row r="431" spans="1:11">
      <c r="A431" t="s">
        <v>445</v>
      </c>
      <c r="B431" t="s">
        <v>934</v>
      </c>
      <c r="C431">
        <v>112</v>
      </c>
      <c r="D431">
        <f>new_212__3[[#This Row],[MBYTES]]/1024</f>
        <v>0.109375</v>
      </c>
      <c r="E431" s="3" t="s">
        <v>6</v>
      </c>
      <c r="F431" t="s">
        <v>84</v>
      </c>
      <c r="H431" t="s">
        <v>440</v>
      </c>
      <c r="K431" t="str" cm="1">
        <f t="array" ref="K431">IF(_xlfn.XLOOKUP(TRIM(A431),TRIM('Espai x esquema'!$A:$A),'Espai x esquema'!$E:$E,"",0)="Sí, però",
   "Sí",
   _xlfn.XLOOKUP(TRIM(A431),TRIM('Espai x esquema'!$A:$A),'Espai x esquema'!$E:$E,"",0))</f>
        <v>No</v>
      </c>
    </row>
    <row r="432" spans="1:11">
      <c r="A432" t="s">
        <v>935</v>
      </c>
      <c r="B432" t="s">
        <v>408</v>
      </c>
      <c r="C432">
        <v>112</v>
      </c>
      <c r="D432">
        <f>new_212__3[[#This Row],[MBYTES]]/1024</f>
        <v>0.109375</v>
      </c>
      <c r="E432" s="3" t="s">
        <v>6</v>
      </c>
      <c r="F432" t="s">
        <v>84</v>
      </c>
      <c r="G432" t="s">
        <v>417</v>
      </c>
      <c r="K432" t="str" cm="1">
        <f t="array" ref="K432">IF(_xlfn.XLOOKUP(TRIM(A432),TRIM('Espai x esquema'!$A:$A),'Espai x esquema'!$E:$E,"",0)="Sí, però",
   "Sí",
   _xlfn.XLOOKUP(TRIM(A432),TRIM('Espai x esquema'!$A:$A),'Espai x esquema'!$E:$E,"",0))</f>
        <v>No</v>
      </c>
    </row>
    <row r="433" spans="1:11">
      <c r="A433" t="s">
        <v>438</v>
      </c>
      <c r="B433" t="s">
        <v>936</v>
      </c>
      <c r="C433">
        <v>112</v>
      </c>
      <c r="D433">
        <f>new_212__3[[#This Row],[MBYTES]]/1024</f>
        <v>0.109375</v>
      </c>
      <c r="E433" s="3" t="s">
        <v>6</v>
      </c>
      <c r="F433" t="s">
        <v>84</v>
      </c>
      <c r="H433" t="s">
        <v>440</v>
      </c>
      <c r="K433" t="str" cm="1">
        <f t="array" ref="K433">IF(_xlfn.XLOOKUP(TRIM(A433),TRIM('Espai x esquema'!$A:$A),'Espai x esquema'!$E:$E,"",0)="Sí, però",
   "Sí",
   _xlfn.XLOOKUP(TRIM(A433),TRIM('Espai x esquema'!$A:$A),'Espai x esquema'!$E:$E,"",0))</f>
        <v>No</v>
      </c>
    </row>
    <row r="434" spans="1:11">
      <c r="A434" t="s">
        <v>548</v>
      </c>
      <c r="B434" t="s">
        <v>937</v>
      </c>
      <c r="C434">
        <v>112</v>
      </c>
      <c r="D434">
        <f>new_212__3[[#This Row],[MBYTES]]/1024</f>
        <v>0.109375</v>
      </c>
      <c r="E434" s="3" t="s">
        <v>6</v>
      </c>
      <c r="F434" t="s">
        <v>84</v>
      </c>
      <c r="G434" t="s">
        <v>550</v>
      </c>
      <c r="K434" t="str" cm="1">
        <f t="array" ref="K434">IF(_xlfn.XLOOKUP(TRIM(A434),TRIM('Espai x esquema'!$A:$A),'Espai x esquema'!$E:$E,"",0)="Sí, però",
   "Sí",
   _xlfn.XLOOKUP(TRIM(A434),TRIM('Espai x esquema'!$A:$A),'Espai x esquema'!$E:$E,"",0))</f>
        <v>No</v>
      </c>
    </row>
    <row r="435" spans="1:11">
      <c r="A435" t="s">
        <v>938</v>
      </c>
      <c r="B435" t="s">
        <v>939</v>
      </c>
      <c r="C435">
        <v>112</v>
      </c>
      <c r="D435">
        <f>new_212__3[[#This Row],[MBYTES]]/1024</f>
        <v>0.109375</v>
      </c>
      <c r="E435" s="3" t="s">
        <v>6</v>
      </c>
      <c r="F435" t="s">
        <v>84</v>
      </c>
      <c r="K435" t="str" cm="1">
        <f t="array" ref="K435">IF(_xlfn.XLOOKUP(TRIM(A435),TRIM('Espai x esquema'!$A:$A),'Espai x esquema'!$E:$E,"",0)="Sí, però",
   "Sí",
   _xlfn.XLOOKUP(TRIM(A435),TRIM('Espai x esquema'!$A:$A),'Espai x esquema'!$E:$E,"",0))</f>
        <v>??</v>
      </c>
    </row>
    <row r="436" spans="1:11">
      <c r="A436" t="s">
        <v>507</v>
      </c>
      <c r="B436" t="s">
        <v>940</v>
      </c>
      <c r="C436">
        <v>112</v>
      </c>
      <c r="D436">
        <f>new_212__3[[#This Row],[MBYTES]]/1024</f>
        <v>0.109375</v>
      </c>
      <c r="E436" s="3" t="s">
        <v>6</v>
      </c>
      <c r="F436" t="s">
        <v>84</v>
      </c>
      <c r="G436" t="s">
        <v>428</v>
      </c>
      <c r="K436" t="str" cm="1">
        <f t="array" ref="K436">IF(_xlfn.XLOOKUP(TRIM(A436),TRIM('Espai x esquema'!$A:$A),'Espai x esquema'!$E:$E,"",0)="Sí, però",
   "Sí",
   _xlfn.XLOOKUP(TRIM(A436),TRIM('Espai x esquema'!$A:$A),'Espai x esquema'!$E:$E,"",0))</f>
        <v>No</v>
      </c>
    </row>
    <row r="437" spans="1:11">
      <c r="A437" t="s">
        <v>54</v>
      </c>
      <c r="B437" t="s">
        <v>940</v>
      </c>
      <c r="C437">
        <v>112</v>
      </c>
      <c r="D437">
        <f>new_212__3[[#This Row],[MBYTES]]/1024</f>
        <v>0.109375</v>
      </c>
      <c r="E437" s="3" t="s">
        <v>8</v>
      </c>
      <c r="F437" t="s">
        <v>84</v>
      </c>
      <c r="G437" t="s">
        <v>613</v>
      </c>
      <c r="H437" t="s">
        <v>614</v>
      </c>
      <c r="J437" t="s">
        <v>50</v>
      </c>
      <c r="K437" t="str" cm="1">
        <f t="array" ref="K437">IF(_xlfn.XLOOKUP(TRIM(A437),TRIM('Espai x esquema'!$A:$A),'Espai x esquema'!$E:$E,"",0)="Sí, però",
   "Sí",
   _xlfn.XLOOKUP(TRIM(A437),TRIM('Espai x esquema'!$A:$A),'Espai x esquema'!$E:$E,"",0))</f>
        <v>Sí</v>
      </c>
    </row>
    <row r="438" spans="1:11">
      <c r="A438" t="s">
        <v>685</v>
      </c>
      <c r="B438" t="s">
        <v>941</v>
      </c>
      <c r="C438">
        <v>111</v>
      </c>
      <c r="D438">
        <v>0.108398438</v>
      </c>
      <c r="E438" s="3" t="s">
        <v>6</v>
      </c>
      <c r="F438" t="s">
        <v>116</v>
      </c>
      <c r="G438" t="s">
        <v>422</v>
      </c>
      <c r="K438" t="str" cm="1">
        <f t="array" ref="K438">IF(_xlfn.XLOOKUP(TRIM(A438),TRIM('Espai x esquema'!$A:$A),'Espai x esquema'!$E:$E,"",0)="Sí, però",
   "Sí",
   _xlfn.XLOOKUP(TRIM(A438),TRIM('Espai x esquema'!$A:$A),'Espai x esquema'!$E:$E,"",0))</f>
        <v>No</v>
      </c>
    </row>
    <row r="439" spans="1:11">
      <c r="A439" t="s">
        <v>500</v>
      </c>
      <c r="B439" t="s">
        <v>942</v>
      </c>
      <c r="C439">
        <v>104</v>
      </c>
      <c r="D439">
        <v>0.1015625</v>
      </c>
      <c r="E439" s="3" t="s">
        <v>6</v>
      </c>
      <c r="F439" t="s">
        <v>116</v>
      </c>
      <c r="G439" t="s">
        <v>422</v>
      </c>
      <c r="K439" t="str" cm="1">
        <f t="array" ref="K439">IF(_xlfn.XLOOKUP(TRIM(A439),TRIM('Espai x esquema'!$A:$A),'Espai x esquema'!$E:$E,"",0)="Sí, però",
   "Sí",
   _xlfn.XLOOKUP(TRIM(A439),TRIM('Espai x esquema'!$A:$A),'Espai x esquema'!$E:$E,"",0))</f>
        <v>No</v>
      </c>
    </row>
    <row r="440" spans="1:11">
      <c r="A440" t="s">
        <v>592</v>
      </c>
      <c r="B440" t="s">
        <v>943</v>
      </c>
      <c r="C440">
        <v>104</v>
      </c>
      <c r="D440">
        <v>0.1015625</v>
      </c>
      <c r="E440" s="3" t="s">
        <v>6</v>
      </c>
      <c r="F440" t="s">
        <v>116</v>
      </c>
      <c r="G440" t="s">
        <v>422</v>
      </c>
      <c r="H440" t="s">
        <v>594</v>
      </c>
      <c r="K440" t="str" cm="1">
        <f t="array" ref="K440">IF(_xlfn.XLOOKUP(TRIM(A440),TRIM('Espai x esquema'!$A:$A),'Espai x esquema'!$E:$E,"",0)="Sí, però",
   "Sí",
   _xlfn.XLOOKUP(TRIM(A440),TRIM('Espai x esquema'!$A:$A),'Espai x esquema'!$E:$E,"",0))</f>
        <v>No</v>
      </c>
    </row>
    <row r="441" spans="1:11">
      <c r="A441" t="s">
        <v>560</v>
      </c>
      <c r="B441" t="s">
        <v>944</v>
      </c>
      <c r="C441">
        <v>104</v>
      </c>
      <c r="D441">
        <v>0.1015625</v>
      </c>
      <c r="E441" s="3" t="s">
        <v>6</v>
      </c>
      <c r="F441" t="s">
        <v>116</v>
      </c>
      <c r="G441" t="s">
        <v>422</v>
      </c>
      <c r="K441" t="str" cm="1">
        <f t="array" ref="K441">IF(_xlfn.XLOOKUP(TRIM(A441),TRIM('Espai x esquema'!$A:$A),'Espai x esquema'!$E:$E,"",0)="Sí, però",
   "Sí",
   _xlfn.XLOOKUP(TRIM(A441),TRIM('Espai x esquema'!$A:$A),'Espai x esquema'!$E:$E,"",0))</f>
        <v>No</v>
      </c>
    </row>
    <row r="442" spans="1:11">
      <c r="A442" t="s">
        <v>707</v>
      </c>
      <c r="B442" t="s">
        <v>945</v>
      </c>
      <c r="C442">
        <v>104</v>
      </c>
      <c r="D442">
        <v>0.1015625</v>
      </c>
      <c r="E442" s="3" t="s">
        <v>6</v>
      </c>
      <c r="F442" t="s">
        <v>116</v>
      </c>
      <c r="G442" t="s">
        <v>422</v>
      </c>
      <c r="K442" t="str" cm="1">
        <f t="array" ref="K442">IF(_xlfn.XLOOKUP(TRIM(A442),TRIM('Espai x esquema'!$A:$A),'Espai x esquema'!$E:$E,"",0)="Sí, però",
   "Sí",
   _xlfn.XLOOKUP(TRIM(A442),TRIM('Espai x esquema'!$A:$A),'Espai x esquema'!$E:$E,"",0))</f>
        <v>No</v>
      </c>
    </row>
    <row r="443" spans="1:11">
      <c r="A443" t="s">
        <v>20</v>
      </c>
      <c r="B443" t="s">
        <v>408</v>
      </c>
      <c r="C443">
        <v>104</v>
      </c>
      <c r="D443">
        <f>new_212__3[[#This Row],[MBYTES]]/1024</f>
        <v>0.1015625</v>
      </c>
      <c r="E443" s="3" t="s">
        <v>6</v>
      </c>
      <c r="F443" t="s">
        <v>84</v>
      </c>
      <c r="G443" t="s">
        <v>946</v>
      </c>
      <c r="K443" t="str" cm="1">
        <f t="array" ref="K443">IF(_xlfn.XLOOKUP(TRIM(A443),TRIM('Espai x esquema'!$A:$A),'Espai x esquema'!$E:$E,"",0)="Sí, però",
   "Sí",
   _xlfn.XLOOKUP(TRIM(A443),TRIM('Espai x esquema'!$A:$A),'Espai x esquema'!$E:$E,"",0))</f>
        <v>No</v>
      </c>
    </row>
    <row r="444" spans="1:11">
      <c r="A444" t="s">
        <v>516</v>
      </c>
      <c r="B444" t="s">
        <v>947</v>
      </c>
      <c r="C444">
        <v>104</v>
      </c>
      <c r="D444">
        <f>new_212__3[[#This Row],[MBYTES]]/1024</f>
        <v>0.1015625</v>
      </c>
      <c r="E444" s="3" t="s">
        <v>6</v>
      </c>
      <c r="F444" t="s">
        <v>84</v>
      </c>
      <c r="G444" t="s">
        <v>417</v>
      </c>
      <c r="K444" t="str" cm="1">
        <f t="array" ref="K444">IF(_xlfn.XLOOKUP(TRIM(A444),TRIM('Espai x esquema'!$A:$A),'Espai x esquema'!$E:$E,"",0)="Sí, però",
   "Sí",
   _xlfn.XLOOKUP(TRIM(A444),TRIM('Espai x esquema'!$A:$A),'Espai x esquema'!$E:$E,"",0))</f>
        <v>No</v>
      </c>
    </row>
    <row r="445" spans="1:11">
      <c r="A445" t="s">
        <v>568</v>
      </c>
      <c r="B445" t="s">
        <v>948</v>
      </c>
      <c r="C445">
        <v>104</v>
      </c>
      <c r="D445">
        <f>new_212__3[[#This Row],[MBYTES]]/1024</f>
        <v>0.1015625</v>
      </c>
      <c r="E445" s="3" t="s">
        <v>6</v>
      </c>
      <c r="F445" t="s">
        <v>84</v>
      </c>
      <c r="G445" t="s">
        <v>417</v>
      </c>
      <c r="K445" t="str" cm="1">
        <f t="array" ref="K445">IF(_xlfn.XLOOKUP(TRIM(A445),TRIM('Espai x esquema'!$A:$A),'Espai x esquema'!$E:$E,"",0)="Sí, però",
   "Sí",
   _xlfn.XLOOKUP(TRIM(A445),TRIM('Espai x esquema'!$A:$A),'Espai x esquema'!$E:$E,"",0))</f>
        <v>No</v>
      </c>
    </row>
    <row r="446" spans="1:11">
      <c r="A446" t="s">
        <v>548</v>
      </c>
      <c r="B446" t="s">
        <v>949</v>
      </c>
      <c r="C446">
        <v>104</v>
      </c>
      <c r="D446">
        <f>new_212__3[[#This Row],[MBYTES]]/1024</f>
        <v>0.1015625</v>
      </c>
      <c r="E446" s="3" t="s">
        <v>6</v>
      </c>
      <c r="F446" t="s">
        <v>84</v>
      </c>
      <c r="G446" t="s">
        <v>550</v>
      </c>
      <c r="K446" t="str" cm="1">
        <f t="array" ref="K446">IF(_xlfn.XLOOKUP(TRIM(A446),TRIM('Espai x esquema'!$A:$A),'Espai x esquema'!$E:$E,"",0)="Sí, però",
   "Sí",
   _xlfn.XLOOKUP(TRIM(A446),TRIM('Espai x esquema'!$A:$A),'Espai x esquema'!$E:$E,"",0))</f>
        <v>No</v>
      </c>
    </row>
    <row r="447" spans="1:11">
      <c r="A447" t="s">
        <v>938</v>
      </c>
      <c r="B447" t="s">
        <v>950</v>
      </c>
      <c r="C447">
        <v>104</v>
      </c>
      <c r="D447">
        <f>new_212__3[[#This Row],[MBYTES]]/1024</f>
        <v>0.1015625</v>
      </c>
      <c r="E447" s="3" t="s">
        <v>6</v>
      </c>
      <c r="F447" t="s">
        <v>84</v>
      </c>
      <c r="K447" t="str" cm="1">
        <f t="array" ref="K447">IF(_xlfn.XLOOKUP(TRIM(A447),TRIM('Espai x esquema'!$A:$A),'Espai x esquema'!$E:$E,"",0)="Sí, però",
   "Sí",
   _xlfn.XLOOKUP(TRIM(A447),TRIM('Espai x esquema'!$A:$A),'Espai x esquema'!$E:$E,"",0))</f>
        <v>??</v>
      </c>
    </row>
    <row r="448" spans="1:11">
      <c r="A448" t="s">
        <v>479</v>
      </c>
      <c r="B448" t="s">
        <v>951</v>
      </c>
      <c r="C448">
        <v>104</v>
      </c>
      <c r="D448">
        <f>new_212__3[[#This Row],[MBYTES]]/1024</f>
        <v>0.1015625</v>
      </c>
      <c r="E448" s="3" t="s">
        <v>6</v>
      </c>
      <c r="F448" t="s">
        <v>84</v>
      </c>
      <c r="K448" t="str" cm="1">
        <f t="array" ref="K448">IF(_xlfn.XLOOKUP(TRIM(A448),TRIM('Espai x esquema'!$A:$A),'Espai x esquema'!$E:$E,"",0)="Sí, però",
   "Sí",
   _xlfn.XLOOKUP(TRIM(A448),TRIM('Espai x esquema'!$A:$A),'Espai x esquema'!$E:$E,"",0))</f>
        <v>No</v>
      </c>
    </row>
    <row r="449" spans="1:11">
      <c r="A449" t="s">
        <v>32</v>
      </c>
      <c r="B449" t="s">
        <v>952</v>
      </c>
      <c r="C449">
        <v>104</v>
      </c>
      <c r="D449">
        <f>new_212__3[[#This Row],[MBYTES]]/1024</f>
        <v>0.1015625</v>
      </c>
      <c r="E449" s="3" t="s">
        <v>6</v>
      </c>
      <c r="F449" t="s">
        <v>84</v>
      </c>
      <c r="G449" t="s">
        <v>428</v>
      </c>
      <c r="K449" t="str" cm="1">
        <f t="array" ref="K449">IF(_xlfn.XLOOKUP(TRIM(A449),TRIM('Espai x esquema'!$A:$A),'Espai x esquema'!$E:$E,"",0)="Sí, però",
   "Sí",
   _xlfn.XLOOKUP(TRIM(A449),TRIM('Espai x esquema'!$A:$A),'Espai x esquema'!$E:$E,"",0))</f>
        <v>No</v>
      </c>
    </row>
    <row r="450" spans="1:11">
      <c r="A450" t="s">
        <v>507</v>
      </c>
      <c r="B450" t="s">
        <v>953</v>
      </c>
      <c r="C450">
        <v>104</v>
      </c>
      <c r="D450">
        <f>new_212__3[[#This Row],[MBYTES]]/1024</f>
        <v>0.1015625</v>
      </c>
      <c r="E450" s="3" t="s">
        <v>6</v>
      </c>
      <c r="F450" t="s">
        <v>84</v>
      </c>
      <c r="G450" t="s">
        <v>428</v>
      </c>
      <c r="K450" t="str" cm="1">
        <f t="array" ref="K450">IF(_xlfn.XLOOKUP(TRIM(A450),TRIM('Espai x esquema'!$A:$A),'Espai x esquema'!$E:$E,"",0)="Sí, però",
   "Sí",
   _xlfn.XLOOKUP(TRIM(A450),TRIM('Espai x esquema'!$A:$A),'Espai x esquema'!$E:$E,"",0))</f>
        <v>No</v>
      </c>
    </row>
    <row r="451" spans="1:11">
      <c r="A451" t="s">
        <v>54</v>
      </c>
      <c r="B451" t="s">
        <v>953</v>
      </c>
      <c r="C451">
        <v>104</v>
      </c>
      <c r="D451">
        <f>new_212__3[[#This Row],[MBYTES]]/1024</f>
        <v>0.1015625</v>
      </c>
      <c r="E451" s="3" t="s">
        <v>8</v>
      </c>
      <c r="F451" t="s">
        <v>84</v>
      </c>
      <c r="G451" t="s">
        <v>613</v>
      </c>
      <c r="H451" t="s">
        <v>614</v>
      </c>
      <c r="J451" t="s">
        <v>50</v>
      </c>
      <c r="K451" t="str" cm="1">
        <f t="array" ref="K451">IF(_xlfn.XLOOKUP(TRIM(A451),TRIM('Espai x esquema'!$A:$A),'Espai x esquema'!$E:$E,"",0)="Sí, però",
   "Sí",
   _xlfn.XLOOKUP(TRIM(A451),TRIM('Espai x esquema'!$A:$A),'Espai x esquema'!$E:$E,"",0))</f>
        <v>Sí</v>
      </c>
    </row>
    <row r="452" spans="1:11">
      <c r="A452" t="s">
        <v>420</v>
      </c>
      <c r="B452" t="s">
        <v>954</v>
      </c>
      <c r="C452">
        <v>98</v>
      </c>
      <c r="D452">
        <v>9.5703125E-2</v>
      </c>
      <c r="E452" s="3" t="s">
        <v>6</v>
      </c>
      <c r="F452" t="s">
        <v>116</v>
      </c>
      <c r="G452" t="s">
        <v>422</v>
      </c>
      <c r="K452" t="str" cm="1">
        <f t="array" ref="K452">IF(_xlfn.XLOOKUP(TRIM(A452),TRIM('Espai x esquema'!$A:$A),'Espai x esquema'!$E:$E,"",0)="Sí, però",
   "Sí",
   _xlfn.XLOOKUP(TRIM(A452),TRIM('Espai x esquema'!$A:$A),'Espai x esquema'!$E:$E,"",0))</f>
        <v>No</v>
      </c>
    </row>
    <row r="453" spans="1:11">
      <c r="A453" t="s">
        <v>28</v>
      </c>
      <c r="B453" t="s">
        <v>955</v>
      </c>
      <c r="C453">
        <v>97</v>
      </c>
      <c r="D453">
        <f>new_212__3[[#This Row],[MBYTES]]/1024</f>
        <v>9.47265625E-2</v>
      </c>
      <c r="E453" s="3" t="s">
        <v>8</v>
      </c>
      <c r="F453" t="s">
        <v>84</v>
      </c>
      <c r="G453" t="s">
        <v>706</v>
      </c>
      <c r="J453" t="s">
        <v>15</v>
      </c>
      <c r="K453" t="str" cm="1">
        <f t="array" ref="K453">IF(_xlfn.XLOOKUP(TRIM(A453),TRIM('Espai x esquema'!$A:$A),'Espai x esquema'!$E:$E,"",0)="Sí, però",
   "Sí",
   _xlfn.XLOOKUP(TRIM(A453),TRIM('Espai x esquema'!$A:$A),'Espai x esquema'!$E:$E,"",0))</f>
        <v>Sí</v>
      </c>
    </row>
    <row r="454" spans="1:11">
      <c r="A454" t="s">
        <v>39</v>
      </c>
      <c r="B454" t="s">
        <v>956</v>
      </c>
      <c r="C454">
        <v>96</v>
      </c>
      <c r="D454">
        <v>9.375E-2</v>
      </c>
      <c r="E454" s="3" t="s">
        <v>8</v>
      </c>
      <c r="F454" t="s">
        <v>116</v>
      </c>
      <c r="G454" t="s">
        <v>422</v>
      </c>
      <c r="H454" t="s">
        <v>694</v>
      </c>
      <c r="J454" t="s">
        <v>31</v>
      </c>
      <c r="K454" t="str" cm="1">
        <f t="array" ref="K454">IF(_xlfn.XLOOKUP(TRIM(A454),TRIM('Espai x esquema'!$A:$A),'Espai x esquema'!$E:$E,"",0)="Sí, però",
   "Sí",
   _xlfn.XLOOKUP(TRIM(A454),TRIM('Espai x esquema'!$A:$A),'Espai x esquema'!$E:$E,"",0))</f>
        <v>Sí</v>
      </c>
    </row>
    <row r="455" spans="1:11">
      <c r="A455" t="s">
        <v>41</v>
      </c>
      <c r="B455" t="s">
        <v>576</v>
      </c>
      <c r="C455">
        <v>96</v>
      </c>
      <c r="D455">
        <v>9.375E-2</v>
      </c>
      <c r="E455" s="3" t="s">
        <v>8</v>
      </c>
      <c r="F455" t="s">
        <v>116</v>
      </c>
      <c r="G455" t="s">
        <v>422</v>
      </c>
      <c r="H455" t="s">
        <v>694</v>
      </c>
      <c r="J455" t="s">
        <v>31</v>
      </c>
      <c r="K455" t="str" cm="1">
        <f t="array" ref="K455">IF(_xlfn.XLOOKUP(TRIM(A455),TRIM('Espai x esquema'!$A:$A),'Espai x esquema'!$E:$E,"",0)="Sí, però",
   "Sí",
   _xlfn.XLOOKUP(TRIM(A455),TRIM('Espai x esquema'!$A:$A),'Espai x esquema'!$E:$E,"",0))</f>
        <v>Sí</v>
      </c>
    </row>
    <row r="456" spans="1:11">
      <c r="A456" t="s">
        <v>658</v>
      </c>
      <c r="B456" t="s">
        <v>957</v>
      </c>
      <c r="C456">
        <v>96</v>
      </c>
      <c r="D456">
        <v>9.375E-2</v>
      </c>
      <c r="E456" s="3" t="s">
        <v>6</v>
      </c>
      <c r="F456" t="s">
        <v>116</v>
      </c>
      <c r="G456" t="s">
        <v>422</v>
      </c>
      <c r="K456" t="str" cm="1">
        <f t="array" ref="K456">IF(_xlfn.XLOOKUP(TRIM(A456),TRIM('Espai x esquema'!$A:$A),'Espai x esquema'!$E:$E,"",0)="Sí, però",
   "Sí",
   _xlfn.XLOOKUP(TRIM(A456),TRIM('Espai x esquema'!$A:$A),'Espai x esquema'!$E:$E,"",0))</f>
        <v>No</v>
      </c>
    </row>
    <row r="457" spans="1:11">
      <c r="A457" t="s">
        <v>43</v>
      </c>
      <c r="B457" t="s">
        <v>878</v>
      </c>
      <c r="C457">
        <v>96</v>
      </c>
      <c r="D457">
        <v>9.375E-2</v>
      </c>
      <c r="E457" s="3" t="s">
        <v>8</v>
      </c>
      <c r="F457" t="s">
        <v>116</v>
      </c>
      <c r="G457" t="s">
        <v>422</v>
      </c>
      <c r="H457" t="s">
        <v>694</v>
      </c>
      <c r="J457" t="s">
        <v>31</v>
      </c>
      <c r="K457" t="str" cm="1">
        <f t="array" ref="K457">IF(_xlfn.XLOOKUP(TRIM(A457),TRIM('Espai x esquema'!$A:$A),'Espai x esquema'!$E:$E,"",0)="Sí, però",
   "Sí",
   _xlfn.XLOOKUP(TRIM(A457),TRIM('Espai x esquema'!$A:$A),'Espai x esquema'!$E:$E,"",0))</f>
        <v>Sí</v>
      </c>
    </row>
    <row r="458" spans="1:11">
      <c r="A458" t="s">
        <v>592</v>
      </c>
      <c r="B458" t="s">
        <v>958</v>
      </c>
      <c r="C458">
        <v>96</v>
      </c>
      <c r="D458">
        <v>9.375E-2</v>
      </c>
      <c r="E458" s="3" t="s">
        <v>6</v>
      </c>
      <c r="F458" t="s">
        <v>116</v>
      </c>
      <c r="G458" t="s">
        <v>422</v>
      </c>
      <c r="K458" t="str" cm="1">
        <f t="array" ref="K458">IF(_xlfn.XLOOKUP(TRIM(A458),TRIM('Espai x esquema'!$A:$A),'Espai x esquema'!$E:$E,"",0)="Sí, però",
   "Sí",
   _xlfn.XLOOKUP(TRIM(A458),TRIM('Espai x esquema'!$A:$A),'Espai x esquema'!$E:$E,"",0))</f>
        <v>No</v>
      </c>
    </row>
    <row r="459" spans="1:11">
      <c r="A459" t="s">
        <v>441</v>
      </c>
      <c r="B459" t="s">
        <v>959</v>
      </c>
      <c r="C459">
        <v>96</v>
      </c>
      <c r="D459">
        <v>9.375E-2</v>
      </c>
      <c r="E459" s="3" t="s">
        <v>6</v>
      </c>
      <c r="F459" t="s">
        <v>116</v>
      </c>
      <c r="G459" t="s">
        <v>422</v>
      </c>
      <c r="K459" t="str" cm="1">
        <f t="array" ref="K459">IF(_xlfn.XLOOKUP(TRIM(A459),TRIM('Espai x esquema'!$A:$A),'Espai x esquema'!$E:$E,"",0)="Sí, però",
   "Sí",
   _xlfn.XLOOKUP(TRIM(A459),TRIM('Espai x esquema'!$A:$A),'Espai x esquema'!$E:$E,"",0))</f>
        <v>No</v>
      </c>
    </row>
    <row r="460" spans="1:11">
      <c r="A460" t="s">
        <v>475</v>
      </c>
      <c r="B460" t="s">
        <v>960</v>
      </c>
      <c r="C460">
        <v>96</v>
      </c>
      <c r="D460">
        <v>9.375E-2</v>
      </c>
      <c r="E460" s="3" t="s">
        <v>6</v>
      </c>
      <c r="F460" t="s">
        <v>116</v>
      </c>
      <c r="G460" t="s">
        <v>422</v>
      </c>
      <c r="H460" t="s">
        <v>488</v>
      </c>
      <c r="K460" t="str" cm="1">
        <f t="array" ref="K460">IF(_xlfn.XLOOKUP(TRIM(A460),TRIM('Espai x esquema'!$A:$A),'Espai x esquema'!$E:$E,"",0)="Sí, però",
   "Sí",
   _xlfn.XLOOKUP(TRIM(A460),TRIM('Espai x esquema'!$A:$A),'Espai x esquema'!$E:$E,"",0))</f>
        <v>No</v>
      </c>
    </row>
    <row r="461" spans="1:11">
      <c r="A461" t="s">
        <v>707</v>
      </c>
      <c r="B461" t="s">
        <v>961</v>
      </c>
      <c r="C461">
        <v>96</v>
      </c>
      <c r="D461">
        <v>9.375E-2</v>
      </c>
      <c r="E461" s="3" t="s">
        <v>6</v>
      </c>
      <c r="F461" t="s">
        <v>116</v>
      </c>
      <c r="G461" t="s">
        <v>422</v>
      </c>
      <c r="H461" t="s">
        <v>760</v>
      </c>
      <c r="K461" t="str" cm="1">
        <f t="array" ref="K461">IF(_xlfn.XLOOKUP(TRIM(A461),TRIM('Espai x esquema'!$A:$A),'Espai x esquema'!$E:$E,"",0)="Sí, però",
   "Sí",
   _xlfn.XLOOKUP(TRIM(A461),TRIM('Espai x esquema'!$A:$A),'Espai x esquema'!$E:$E,"",0))</f>
        <v>No</v>
      </c>
    </row>
    <row r="462" spans="1:11">
      <c r="A462" t="s">
        <v>962</v>
      </c>
      <c r="B462" t="s">
        <v>963</v>
      </c>
      <c r="C462">
        <v>96</v>
      </c>
      <c r="D462">
        <v>9.375E-2</v>
      </c>
      <c r="E462" s="3" t="s">
        <v>6</v>
      </c>
      <c r="F462" t="s">
        <v>116</v>
      </c>
      <c r="G462" t="s">
        <v>422</v>
      </c>
      <c r="K462" t="str" cm="1">
        <f t="array" ref="K462">IF(_xlfn.XLOOKUP(TRIM(A462),TRIM('Espai x esquema'!$A:$A),'Espai x esquema'!$E:$E,"",0)="Sí, però",
   "Sí",
   _xlfn.XLOOKUP(TRIM(A462),TRIM('Espai x esquema'!$A:$A),'Espai x esquema'!$E:$E,"",0))</f>
        <v>No</v>
      </c>
    </row>
    <row r="463" spans="1:11">
      <c r="A463" t="s">
        <v>22</v>
      </c>
      <c r="B463" t="s">
        <v>964</v>
      </c>
      <c r="C463">
        <v>96</v>
      </c>
      <c r="D463">
        <f>new_212__3[[#This Row],[MBYTES]]/1024</f>
        <v>9.375E-2</v>
      </c>
      <c r="E463" s="3" t="s">
        <v>8</v>
      </c>
      <c r="F463" t="s">
        <v>84</v>
      </c>
      <c r="G463" t="s">
        <v>464</v>
      </c>
      <c r="J463" t="s">
        <v>15</v>
      </c>
      <c r="K463" t="str" cm="1">
        <f t="array" ref="K463">IF(_xlfn.XLOOKUP(TRIM(A463),TRIM('Espai x esquema'!$A:$A),'Espai x esquema'!$E:$E,"",0)="Sí, però",
   "Sí",
   _xlfn.XLOOKUP(TRIM(A463),TRIM('Espai x esquema'!$A:$A),'Espai x esquema'!$E:$E,"",0))</f>
        <v>No</v>
      </c>
    </row>
    <row r="464" spans="1:11">
      <c r="A464" t="s">
        <v>965</v>
      </c>
      <c r="B464" t="s">
        <v>966</v>
      </c>
      <c r="C464">
        <v>96</v>
      </c>
      <c r="D464">
        <f>new_212__3[[#This Row],[MBYTES]]/1024</f>
        <v>9.375E-2</v>
      </c>
      <c r="E464" s="3" t="s">
        <v>6</v>
      </c>
      <c r="F464" t="s">
        <v>84</v>
      </c>
      <c r="G464" t="s">
        <v>428</v>
      </c>
      <c r="K464" t="str" cm="1">
        <f t="array" ref="K464">IF(_xlfn.XLOOKUP(TRIM(A464),TRIM('Espai x esquema'!$A:$A),'Espai x esquema'!$E:$E,"",0)="Sí, però",
   "Sí",
   _xlfn.XLOOKUP(TRIM(A464),TRIM('Espai x esquema'!$A:$A),'Espai x esquema'!$E:$E,"",0))</f>
        <v>Sí</v>
      </c>
    </row>
    <row r="465" spans="1:11">
      <c r="A465" t="s">
        <v>967</v>
      </c>
      <c r="B465" t="s">
        <v>968</v>
      </c>
      <c r="C465">
        <v>96</v>
      </c>
      <c r="D465">
        <f>new_212__3[[#This Row],[MBYTES]]/1024</f>
        <v>9.375E-2</v>
      </c>
      <c r="E465" s="3" t="s">
        <v>6</v>
      </c>
      <c r="F465" t="s">
        <v>84</v>
      </c>
      <c r="G465" t="s">
        <v>417</v>
      </c>
      <c r="K465" t="str" cm="1">
        <f t="array" ref="K465">IF(_xlfn.XLOOKUP(TRIM(A465),TRIM('Espai x esquema'!$A:$A),'Espai x esquema'!$E:$E,"",0)="Sí, però",
   "Sí",
   _xlfn.XLOOKUP(TRIM(A465),TRIM('Espai x esquema'!$A:$A),'Espai x esquema'!$E:$E,"",0))</f>
        <v>No</v>
      </c>
    </row>
    <row r="466" spans="1:11">
      <c r="A466" t="s">
        <v>469</v>
      </c>
      <c r="B466" t="s">
        <v>969</v>
      </c>
      <c r="C466">
        <v>96</v>
      </c>
      <c r="D466">
        <f>new_212__3[[#This Row],[MBYTES]]/1024</f>
        <v>9.375E-2</v>
      </c>
      <c r="E466" s="3" t="s">
        <v>6</v>
      </c>
      <c r="F466" t="s">
        <v>84</v>
      </c>
      <c r="K466" t="str" cm="1">
        <f t="array" ref="K466">IF(_xlfn.XLOOKUP(TRIM(A466),TRIM('Espai x esquema'!$A:$A),'Espai x esquema'!$E:$E,"",0)="Sí, però",
   "Sí",
   _xlfn.XLOOKUP(TRIM(A466),TRIM('Espai x esquema'!$A:$A),'Espai x esquema'!$E:$E,"",0))</f>
        <v>No</v>
      </c>
    </row>
    <row r="467" spans="1:11">
      <c r="A467" t="s">
        <v>415</v>
      </c>
      <c r="B467" t="s">
        <v>970</v>
      </c>
      <c r="C467">
        <v>96</v>
      </c>
      <c r="D467">
        <f>new_212__3[[#This Row],[MBYTES]]/1024</f>
        <v>9.375E-2</v>
      </c>
      <c r="E467" s="3" t="s">
        <v>6</v>
      </c>
      <c r="F467" t="s">
        <v>84</v>
      </c>
      <c r="G467" t="s">
        <v>428</v>
      </c>
      <c r="K467" t="str" cm="1">
        <f t="array" ref="K467">IF(_xlfn.XLOOKUP(TRIM(A467),TRIM('Espai x esquema'!$A:$A),'Espai x esquema'!$E:$E,"",0)="Sí, però",
   "Sí",
   _xlfn.XLOOKUP(TRIM(A467),TRIM('Espai x esquema'!$A:$A),'Espai x esquema'!$E:$E,"",0))</f>
        <v>No</v>
      </c>
    </row>
    <row r="468" spans="1:11">
      <c r="A468" t="s">
        <v>412</v>
      </c>
      <c r="B468" t="s">
        <v>971</v>
      </c>
      <c r="C468">
        <v>96</v>
      </c>
      <c r="D468">
        <f>new_212__3[[#This Row],[MBYTES]]/1024</f>
        <v>9.375E-2</v>
      </c>
      <c r="E468" s="3" t="s">
        <v>6</v>
      </c>
      <c r="F468" t="s">
        <v>84</v>
      </c>
      <c r="K468" t="str" cm="1">
        <f t="array" ref="K468">IF(_xlfn.XLOOKUP(TRIM(A468),TRIM('Espai x esquema'!$A:$A),'Espai x esquema'!$E:$E,"",0)="Sí, però",
   "Sí",
   _xlfn.XLOOKUP(TRIM(A468),TRIM('Espai x esquema'!$A:$A),'Espai x esquema'!$E:$E,"",0))</f>
        <v>No</v>
      </c>
    </row>
    <row r="469" spans="1:11">
      <c r="A469" t="s">
        <v>972</v>
      </c>
      <c r="B469" t="s">
        <v>408</v>
      </c>
      <c r="C469">
        <v>96</v>
      </c>
      <c r="D469">
        <f>new_212__3[[#This Row],[MBYTES]]/1024</f>
        <v>9.375E-2</v>
      </c>
      <c r="E469" s="3" t="s">
        <v>6</v>
      </c>
      <c r="F469" t="s">
        <v>84</v>
      </c>
      <c r="G469" t="s">
        <v>417</v>
      </c>
      <c r="K469" t="str" cm="1">
        <f t="array" ref="K469">IF(_xlfn.XLOOKUP(TRIM(A469),TRIM('Espai x esquema'!$A:$A),'Espai x esquema'!$E:$E,"",0)="Sí, però",
   "Sí",
   _xlfn.XLOOKUP(TRIM(A469),TRIM('Espai x esquema'!$A:$A),'Espai x esquema'!$E:$E,"",0))</f>
        <v>NO</v>
      </c>
    </row>
    <row r="470" spans="1:11">
      <c r="A470" t="s">
        <v>48</v>
      </c>
      <c r="B470" t="s">
        <v>973</v>
      </c>
      <c r="C470">
        <v>96</v>
      </c>
      <c r="D470">
        <f>new_212__3[[#This Row],[MBYTES]]/1024</f>
        <v>9.375E-2</v>
      </c>
      <c r="E470" s="3" t="s">
        <v>6</v>
      </c>
      <c r="F470" t="s">
        <v>101</v>
      </c>
      <c r="G470" t="s">
        <v>668</v>
      </c>
      <c r="K470" t="str" cm="1">
        <f t="array" ref="K470">IF(_xlfn.XLOOKUP(TRIM(A470),TRIM('Espai x esquema'!$A:$A),'Espai x esquema'!$E:$E,"",0)="Sí, però",
   "Sí",
   _xlfn.XLOOKUP(TRIM(A470),TRIM('Espai x esquema'!$A:$A),'Espai x esquema'!$E:$E,"",0))</f>
        <v>No</v>
      </c>
    </row>
    <row r="471" spans="1:11">
      <c r="A471" t="s">
        <v>844</v>
      </c>
      <c r="B471" t="s">
        <v>974</v>
      </c>
      <c r="C471">
        <v>96</v>
      </c>
      <c r="D471">
        <f>new_212__3[[#This Row],[MBYTES]]/1024</f>
        <v>9.375E-2</v>
      </c>
      <c r="E471" s="3" t="s">
        <v>196</v>
      </c>
      <c r="F471" t="s">
        <v>125</v>
      </c>
      <c r="G471" t="s">
        <v>668</v>
      </c>
      <c r="K471" t="str" cm="1">
        <f t="array" ref="K471">IF(_xlfn.XLOOKUP(TRIM(A471),TRIM('Espai x esquema'!$A:$A),'Espai x esquema'!$E:$E,"",0)="Sí, però",
   "Sí",
   _xlfn.XLOOKUP(TRIM(A471),TRIM('Espai x esquema'!$A:$A),'Espai x esquema'!$E:$E,"",0))</f>
        <v>NO</v>
      </c>
    </row>
    <row r="472" spans="1:11">
      <c r="A472" t="s">
        <v>975</v>
      </c>
      <c r="B472" t="s">
        <v>670</v>
      </c>
      <c r="C472">
        <v>96</v>
      </c>
      <c r="D472">
        <f>new_212__3[[#This Row],[MBYTES]]/1024</f>
        <v>9.375E-2</v>
      </c>
      <c r="E472" s="3" t="s">
        <v>5</v>
      </c>
      <c r="K472" t="str" cm="1">
        <f t="array" ref="K472">IF(_xlfn.XLOOKUP(TRIM(A472),TRIM('Espai x esquema'!$A:$A),'Espai x esquema'!$E:$E,"",0)="Sí, però",
   "Sí",
   _xlfn.XLOOKUP(TRIM(A472),TRIM('Espai x esquema'!$A:$A),'Espai x esquema'!$E:$E,"",0))</f>
        <v>??</v>
      </c>
    </row>
    <row r="473" spans="1:11">
      <c r="A473" t="s">
        <v>685</v>
      </c>
      <c r="B473" t="s">
        <v>976</v>
      </c>
      <c r="C473">
        <v>94</v>
      </c>
      <c r="D473">
        <v>9.1796875E-2</v>
      </c>
      <c r="E473" s="3" t="s">
        <v>6</v>
      </c>
      <c r="F473" t="s">
        <v>116</v>
      </c>
      <c r="G473" t="s">
        <v>422</v>
      </c>
      <c r="K473" t="str" cm="1">
        <f t="array" ref="K473">IF(_xlfn.XLOOKUP(TRIM(A473),TRIM('Espai x esquema'!$A:$A),'Espai x esquema'!$E:$E,"",0)="Sí, però",
   "Sí",
   _xlfn.XLOOKUP(TRIM(A473),TRIM('Espai x esquema'!$A:$A),'Espai x esquema'!$E:$E,"",0))</f>
        <v>No</v>
      </c>
    </row>
    <row r="474" spans="1:11">
      <c r="A474" t="s">
        <v>436</v>
      </c>
      <c r="B474" t="s">
        <v>977</v>
      </c>
      <c r="C474">
        <v>89</v>
      </c>
      <c r="D474">
        <v>8.6914063E-2</v>
      </c>
      <c r="E474" s="3" t="s">
        <v>6</v>
      </c>
      <c r="F474" t="s">
        <v>116</v>
      </c>
      <c r="G474" t="s">
        <v>422</v>
      </c>
      <c r="H474" t="s">
        <v>504</v>
      </c>
      <c r="K474" t="str" cm="1">
        <f t="array" ref="K474">IF(_xlfn.XLOOKUP(TRIM(A474),TRIM('Espai x esquema'!$A:$A),'Espai x esquema'!$E:$E,"",0)="Sí, però",
   "Sí",
   _xlfn.XLOOKUP(TRIM(A474),TRIM('Espai x esquema'!$A:$A),'Espai x esquema'!$E:$E,"",0))</f>
        <v>No</v>
      </c>
    </row>
    <row r="475" spans="1:11">
      <c r="A475" t="s">
        <v>41</v>
      </c>
      <c r="B475" t="s">
        <v>717</v>
      </c>
      <c r="C475">
        <v>88</v>
      </c>
      <c r="D475">
        <v>8.59375E-2</v>
      </c>
      <c r="E475" s="3" t="s">
        <v>8</v>
      </c>
      <c r="F475" t="s">
        <v>116</v>
      </c>
      <c r="G475" t="s">
        <v>422</v>
      </c>
      <c r="H475" t="s">
        <v>694</v>
      </c>
      <c r="J475" t="s">
        <v>31</v>
      </c>
      <c r="K475" t="str" cm="1">
        <f t="array" ref="K475">IF(_xlfn.XLOOKUP(TRIM(A475),TRIM('Espai x esquema'!$A:$A),'Espai x esquema'!$E:$E,"",0)="Sí, però",
   "Sí",
   _xlfn.XLOOKUP(TRIM(A475),TRIM('Espai x esquema'!$A:$A),'Espai x esquema'!$E:$E,"",0))</f>
        <v>Sí</v>
      </c>
    </row>
    <row r="476" spans="1:11">
      <c r="A476" t="s">
        <v>41</v>
      </c>
      <c r="B476" t="s">
        <v>865</v>
      </c>
      <c r="C476">
        <v>88</v>
      </c>
      <c r="D476">
        <v>8.59375E-2</v>
      </c>
      <c r="E476" s="3" t="s">
        <v>8</v>
      </c>
      <c r="F476" t="s">
        <v>116</v>
      </c>
      <c r="G476" t="s">
        <v>422</v>
      </c>
      <c r="H476" t="s">
        <v>694</v>
      </c>
      <c r="J476" t="s">
        <v>31</v>
      </c>
      <c r="K476" t="str" cm="1">
        <f t="array" ref="K476">IF(_xlfn.XLOOKUP(TRIM(A476),TRIM('Espai x esquema'!$A:$A),'Espai x esquema'!$E:$E,"",0)="Sí, però",
   "Sí",
   _xlfn.XLOOKUP(TRIM(A476),TRIM('Espai x esquema'!$A:$A),'Espai x esquema'!$E:$E,"",0))</f>
        <v>Sí</v>
      </c>
    </row>
    <row r="477" spans="1:11">
      <c r="A477" t="s">
        <v>41</v>
      </c>
      <c r="B477" t="s">
        <v>956</v>
      </c>
      <c r="C477">
        <v>88</v>
      </c>
      <c r="D477">
        <v>8.59375E-2</v>
      </c>
      <c r="E477" s="3" t="s">
        <v>8</v>
      </c>
      <c r="F477" t="s">
        <v>116</v>
      </c>
      <c r="G477" t="s">
        <v>422</v>
      </c>
      <c r="H477" t="s">
        <v>694</v>
      </c>
      <c r="J477" t="s">
        <v>31</v>
      </c>
      <c r="K477" t="str" cm="1">
        <f t="array" ref="K477">IF(_xlfn.XLOOKUP(TRIM(A477),TRIM('Espai x esquema'!$A:$A),'Espai x esquema'!$E:$E,"",0)="Sí, però",
   "Sí",
   _xlfn.XLOOKUP(TRIM(A477),TRIM('Espai x esquema'!$A:$A),'Espai x esquema'!$E:$E,"",0))</f>
        <v>Sí</v>
      </c>
    </row>
    <row r="478" spans="1:11">
      <c r="A478" t="s">
        <v>540</v>
      </c>
      <c r="B478" t="s">
        <v>978</v>
      </c>
      <c r="C478">
        <v>88</v>
      </c>
      <c r="D478">
        <v>8.59375E-2</v>
      </c>
      <c r="E478" s="3" t="s">
        <v>6</v>
      </c>
      <c r="F478" t="s">
        <v>116</v>
      </c>
      <c r="G478" t="s">
        <v>422</v>
      </c>
      <c r="K478" t="str" cm="1">
        <f t="array" ref="K478">IF(_xlfn.XLOOKUP(TRIM(A478),TRIM('Espai x esquema'!$A:$A),'Espai x esquema'!$E:$E,"",0)="Sí, però",
   "Sí",
   _xlfn.XLOOKUP(TRIM(A478),TRIM('Espai x esquema'!$A:$A),'Espai x esquema'!$E:$E,"",0))</f>
        <v>Sí</v>
      </c>
    </row>
    <row r="479" spans="1:11">
      <c r="A479" t="s">
        <v>685</v>
      </c>
      <c r="B479" t="s">
        <v>979</v>
      </c>
      <c r="C479">
        <v>88</v>
      </c>
      <c r="D479">
        <v>8.59375E-2</v>
      </c>
      <c r="E479" s="3" t="s">
        <v>6</v>
      </c>
      <c r="F479" t="s">
        <v>116</v>
      </c>
      <c r="G479" t="s">
        <v>422</v>
      </c>
      <c r="K479" t="str" cm="1">
        <f t="array" ref="K479">IF(_xlfn.XLOOKUP(TRIM(A479),TRIM('Espai x esquema'!$A:$A),'Espai x esquema'!$E:$E,"",0)="Sí, però",
   "Sí",
   _xlfn.XLOOKUP(TRIM(A479),TRIM('Espai x esquema'!$A:$A),'Espai x esquema'!$E:$E,"",0))</f>
        <v>No</v>
      </c>
    </row>
    <row r="480" spans="1:11">
      <c r="A480" t="s">
        <v>962</v>
      </c>
      <c r="B480" t="s">
        <v>980</v>
      </c>
      <c r="C480">
        <v>88</v>
      </c>
      <c r="D480">
        <v>8.59375E-2</v>
      </c>
      <c r="E480" s="3" t="s">
        <v>6</v>
      </c>
      <c r="F480" t="s">
        <v>116</v>
      </c>
      <c r="G480" t="s">
        <v>422</v>
      </c>
      <c r="K480" t="str" cm="1">
        <f t="array" ref="K480">IF(_xlfn.XLOOKUP(TRIM(A480),TRIM('Espai x esquema'!$A:$A),'Espai x esquema'!$E:$E,"",0)="Sí, però",
   "Sí",
   _xlfn.XLOOKUP(TRIM(A480),TRIM('Espai x esquema'!$A:$A),'Espai x esquema'!$E:$E,"",0))</f>
        <v>No</v>
      </c>
    </row>
    <row r="481" spans="1:11">
      <c r="A481" t="s">
        <v>24</v>
      </c>
      <c r="B481" t="s">
        <v>981</v>
      </c>
      <c r="C481">
        <v>88</v>
      </c>
      <c r="D481">
        <f>new_212__3[[#This Row],[MBYTES]]/1024</f>
        <v>8.59375E-2</v>
      </c>
      <c r="E481" s="3" t="s">
        <v>6</v>
      </c>
      <c r="F481" t="s">
        <v>84</v>
      </c>
      <c r="G481" t="s">
        <v>428</v>
      </c>
      <c r="K481" t="str" cm="1">
        <f t="array" ref="K481">IF(_xlfn.XLOOKUP(TRIM(A481),TRIM('Espai x esquema'!$A:$A),'Espai x esquema'!$E:$E,"",0)="Sí, però",
   "Sí",
   _xlfn.XLOOKUP(TRIM(A481),TRIM('Espai x esquema'!$A:$A),'Espai x esquema'!$E:$E,"",0))</f>
        <v>No</v>
      </c>
    </row>
    <row r="482" spans="1:11">
      <c r="A482" t="s">
        <v>24</v>
      </c>
      <c r="B482" t="s">
        <v>982</v>
      </c>
      <c r="C482">
        <v>88</v>
      </c>
      <c r="D482">
        <f>new_212__3[[#This Row],[MBYTES]]/1024</f>
        <v>8.59375E-2</v>
      </c>
      <c r="E482" s="3" t="s">
        <v>8</v>
      </c>
      <c r="F482" t="s">
        <v>84</v>
      </c>
      <c r="G482" t="s">
        <v>983</v>
      </c>
      <c r="J482" t="s">
        <v>15</v>
      </c>
      <c r="K482" t="str" cm="1">
        <f t="array" ref="K482">IF(_xlfn.XLOOKUP(TRIM(A482),TRIM('Espai x esquema'!$A:$A),'Espai x esquema'!$E:$E,"",0)="Sí, però",
   "Sí",
   _xlfn.XLOOKUP(TRIM(A482),TRIM('Espai x esquema'!$A:$A),'Espai x esquema'!$E:$E,"",0))</f>
        <v>No</v>
      </c>
    </row>
    <row r="483" spans="1:11">
      <c r="A483" t="s">
        <v>24</v>
      </c>
      <c r="B483" t="s">
        <v>984</v>
      </c>
      <c r="C483">
        <v>88</v>
      </c>
      <c r="D483">
        <f>new_212__3[[#This Row],[MBYTES]]/1024</f>
        <v>8.59375E-2</v>
      </c>
      <c r="E483" s="3" t="s">
        <v>8</v>
      </c>
      <c r="F483" t="s">
        <v>84</v>
      </c>
      <c r="G483" t="s">
        <v>983</v>
      </c>
      <c r="J483" t="s">
        <v>15</v>
      </c>
      <c r="K483" t="str" cm="1">
        <f t="array" ref="K483">IF(_xlfn.XLOOKUP(TRIM(A483),TRIM('Espai x esquema'!$A:$A),'Espai x esquema'!$E:$E,"",0)="Sí, però",
   "Sí",
   _xlfn.XLOOKUP(TRIM(A483),TRIM('Espai x esquema'!$A:$A),'Espai x esquema'!$E:$E,"",0))</f>
        <v>No</v>
      </c>
    </row>
    <row r="484" spans="1:11">
      <c r="A484" t="s">
        <v>985</v>
      </c>
      <c r="B484" t="s">
        <v>666</v>
      </c>
      <c r="C484">
        <v>88</v>
      </c>
      <c r="D484">
        <f>new_212__3[[#This Row],[MBYTES]]/1024</f>
        <v>8.59375E-2</v>
      </c>
      <c r="E484" s="3" t="s">
        <v>6</v>
      </c>
      <c r="F484" t="s">
        <v>84</v>
      </c>
      <c r="G484" t="s">
        <v>417</v>
      </c>
      <c r="K484" t="str" cm="1">
        <f t="array" ref="K484">IF(_xlfn.XLOOKUP(TRIM(A484),TRIM('Espai x esquema'!$A:$A),'Espai x esquema'!$E:$E,"",0)="Sí, però",
   "Sí",
   _xlfn.XLOOKUP(TRIM(A484),TRIM('Espai x esquema'!$A:$A),'Espai x esquema'!$E:$E,"",0))</f>
        <v>No</v>
      </c>
    </row>
    <row r="485" spans="1:11">
      <c r="A485" t="s">
        <v>438</v>
      </c>
      <c r="B485" t="s">
        <v>986</v>
      </c>
      <c r="C485">
        <v>88</v>
      </c>
      <c r="D485">
        <f>new_212__3[[#This Row],[MBYTES]]/1024</f>
        <v>8.59375E-2</v>
      </c>
      <c r="E485" s="3" t="s">
        <v>6</v>
      </c>
      <c r="F485" t="s">
        <v>84</v>
      </c>
      <c r="H485" t="s">
        <v>440</v>
      </c>
      <c r="K485" t="str" cm="1">
        <f t="array" ref="K485">IF(_xlfn.XLOOKUP(TRIM(A485),TRIM('Espai x esquema'!$A:$A),'Espai x esquema'!$E:$E,"",0)="Sí, però",
   "Sí",
   _xlfn.XLOOKUP(TRIM(A485),TRIM('Espai x esquema'!$A:$A),'Espai x esquema'!$E:$E,"",0))</f>
        <v>No</v>
      </c>
    </row>
    <row r="486" spans="1:11">
      <c r="A486" t="s">
        <v>26</v>
      </c>
      <c r="B486" t="s">
        <v>987</v>
      </c>
      <c r="C486">
        <v>88</v>
      </c>
      <c r="D486">
        <f>new_212__3[[#This Row],[MBYTES]]/1024</f>
        <v>8.59375E-2</v>
      </c>
      <c r="E486" s="3" t="s">
        <v>8</v>
      </c>
      <c r="F486" t="s">
        <v>84</v>
      </c>
      <c r="G486" t="s">
        <v>582</v>
      </c>
      <c r="J486" t="s">
        <v>15</v>
      </c>
      <c r="K486" t="str" cm="1">
        <f t="array" ref="K486">IF(_xlfn.XLOOKUP(TRIM(A486),TRIM('Espai x esquema'!$A:$A),'Espai x esquema'!$E:$E,"",0)="Sí, però",
   "Sí",
   _xlfn.XLOOKUP(TRIM(A486),TRIM('Espai x esquema'!$A:$A),'Espai x esquema'!$E:$E,"",0))</f>
        <v>No</v>
      </c>
    </row>
    <row r="487" spans="1:11">
      <c r="A487" t="s">
        <v>20</v>
      </c>
      <c r="B487" t="s">
        <v>988</v>
      </c>
      <c r="C487">
        <v>84</v>
      </c>
      <c r="D487">
        <f>new_212__3[[#This Row],[MBYTES]]/1024</f>
        <v>8.203125E-2</v>
      </c>
      <c r="E487" s="3" t="s">
        <v>6</v>
      </c>
      <c r="F487" t="s">
        <v>84</v>
      </c>
      <c r="H487" t="s">
        <v>440</v>
      </c>
      <c r="K487" t="str" cm="1">
        <f t="array" ref="K487">IF(_xlfn.XLOOKUP(TRIM(A487),TRIM('Espai x esquema'!$A:$A),'Espai x esquema'!$E:$E,"",0)="Sí, però",
   "Sí",
   _xlfn.XLOOKUP(TRIM(A487),TRIM('Espai x esquema'!$A:$A),'Espai x esquema'!$E:$E,"",0))</f>
        <v>No</v>
      </c>
    </row>
    <row r="488" spans="1:11">
      <c r="A488" t="s">
        <v>418</v>
      </c>
      <c r="B488" t="s">
        <v>989</v>
      </c>
      <c r="C488">
        <v>82</v>
      </c>
      <c r="D488">
        <f>new_212__3[[#This Row],[MBYTES]]/1024</f>
        <v>8.0078125E-2</v>
      </c>
      <c r="E488" s="3" t="s">
        <v>6</v>
      </c>
      <c r="F488" t="s">
        <v>84</v>
      </c>
      <c r="K488" t="str" cm="1">
        <f t="array" ref="K488">IF(_xlfn.XLOOKUP(TRIM(A488),TRIM('Espai x esquema'!$A:$A),'Espai x esquema'!$E:$E,"",0)="Sí, però",
   "Sí",
   _xlfn.XLOOKUP(TRIM(A488),TRIM('Espai x esquema'!$A:$A),'Espai x esquema'!$E:$E,"",0))</f>
        <v>No</v>
      </c>
    </row>
    <row r="489" spans="1:11">
      <c r="A489" t="s">
        <v>990</v>
      </c>
      <c r="B489" t="s">
        <v>991</v>
      </c>
      <c r="C489">
        <v>80</v>
      </c>
      <c r="D489">
        <v>7.8125E-2</v>
      </c>
      <c r="E489" s="3" t="s">
        <v>6</v>
      </c>
      <c r="F489" t="s">
        <v>116</v>
      </c>
      <c r="G489" t="s">
        <v>422</v>
      </c>
      <c r="K489" t="str" cm="1">
        <f t="array" ref="K489">IF(_xlfn.XLOOKUP(TRIM(A489),TRIM('Espai x esquema'!$A:$A),'Espai x esquema'!$E:$E,"",0)="Sí, però",
   "Sí",
   _xlfn.XLOOKUP(TRIM(A489),TRIM('Espai x esquema'!$A:$A),'Espai x esquema'!$E:$E,"",0))</f>
        <v>No</v>
      </c>
    </row>
    <row r="490" spans="1:11">
      <c r="A490" t="s">
        <v>928</v>
      </c>
      <c r="B490" t="s">
        <v>992</v>
      </c>
      <c r="C490">
        <v>80</v>
      </c>
      <c r="D490">
        <v>7.8125E-2</v>
      </c>
      <c r="E490" s="3" t="s">
        <v>6</v>
      </c>
      <c r="F490" t="s">
        <v>116</v>
      </c>
      <c r="G490" t="s">
        <v>422</v>
      </c>
      <c r="K490" t="str" cm="1">
        <f t="array" ref="K490">IF(_xlfn.XLOOKUP(TRIM(A490),TRIM('Espai x esquema'!$A:$A),'Espai x esquema'!$E:$E,"",0)="Sí, però",
   "Sí",
   _xlfn.XLOOKUP(TRIM(A490),TRIM('Espai x esquema'!$A:$A),'Espai x esquema'!$E:$E,"",0))</f>
        <v>Sí</v>
      </c>
    </row>
    <row r="491" spans="1:11">
      <c r="A491" t="s">
        <v>521</v>
      </c>
      <c r="B491" t="s">
        <v>993</v>
      </c>
      <c r="C491">
        <v>80</v>
      </c>
      <c r="D491">
        <v>7.8125E-2</v>
      </c>
      <c r="E491" s="3" t="s">
        <v>6</v>
      </c>
      <c r="F491" t="s">
        <v>116</v>
      </c>
      <c r="G491" t="s">
        <v>422</v>
      </c>
      <c r="K491" t="str" cm="1">
        <f t="array" ref="K491">IF(_xlfn.XLOOKUP(TRIM(A491),TRIM('Espai x esquema'!$A:$A),'Espai x esquema'!$E:$E,"",0)="Sí, però",
   "Sí",
   _xlfn.XLOOKUP(TRIM(A491),TRIM('Espai x esquema'!$A:$A),'Espai x esquema'!$E:$E,"",0))</f>
        <v>No</v>
      </c>
    </row>
    <row r="492" spans="1:11">
      <c r="A492" t="s">
        <v>521</v>
      </c>
      <c r="B492" t="s">
        <v>994</v>
      </c>
      <c r="C492">
        <v>80</v>
      </c>
      <c r="D492">
        <v>7.8125E-2</v>
      </c>
      <c r="E492" s="3" t="s">
        <v>6</v>
      </c>
      <c r="F492" t="s">
        <v>116</v>
      </c>
      <c r="G492" t="s">
        <v>422</v>
      </c>
      <c r="K492" t="str" cm="1">
        <f t="array" ref="K492">IF(_xlfn.XLOOKUP(TRIM(A492),TRIM('Espai x esquema'!$A:$A),'Espai x esquema'!$E:$E,"",0)="Sí, però",
   "Sí",
   _xlfn.XLOOKUP(TRIM(A492),TRIM('Espai x esquema'!$A:$A),'Espai x esquema'!$E:$E,"",0))</f>
        <v>No</v>
      </c>
    </row>
    <row r="493" spans="1:11">
      <c r="A493" t="s">
        <v>495</v>
      </c>
      <c r="B493" t="s">
        <v>995</v>
      </c>
      <c r="C493">
        <v>80</v>
      </c>
      <c r="D493">
        <v>7.8125E-2</v>
      </c>
      <c r="E493" s="3" t="s">
        <v>6</v>
      </c>
      <c r="F493" t="s">
        <v>116</v>
      </c>
      <c r="G493" t="s">
        <v>422</v>
      </c>
      <c r="K493" t="str" cm="1">
        <f t="array" ref="K493">IF(_xlfn.XLOOKUP(TRIM(A493),TRIM('Espai x esquema'!$A:$A),'Espai x esquema'!$E:$E,"",0)="Sí, però",
   "Sí",
   _xlfn.XLOOKUP(TRIM(A493),TRIM('Espai x esquema'!$A:$A),'Espai x esquema'!$E:$E,"",0))</f>
        <v>No</v>
      </c>
    </row>
    <row r="494" spans="1:11">
      <c r="A494" t="s">
        <v>513</v>
      </c>
      <c r="B494" t="s">
        <v>996</v>
      </c>
      <c r="C494">
        <v>80</v>
      </c>
      <c r="D494">
        <v>7.8125E-2</v>
      </c>
      <c r="E494" s="3" t="s">
        <v>6</v>
      </c>
      <c r="F494" t="s">
        <v>116</v>
      </c>
      <c r="G494" t="s">
        <v>422</v>
      </c>
      <c r="K494" t="str" cm="1">
        <f t="array" ref="K494">IF(_xlfn.XLOOKUP(TRIM(A494),TRIM('Espai x esquema'!$A:$A),'Espai x esquema'!$E:$E,"",0)="Sí, però",
   "Sí",
   _xlfn.XLOOKUP(TRIM(A494),TRIM('Espai x esquema'!$A:$A),'Espai x esquema'!$E:$E,"",0))</f>
        <v>No</v>
      </c>
    </row>
    <row r="495" spans="1:11">
      <c r="A495" t="s">
        <v>997</v>
      </c>
      <c r="B495" t="s">
        <v>998</v>
      </c>
      <c r="C495">
        <v>80</v>
      </c>
      <c r="D495">
        <v>7.8125E-2</v>
      </c>
      <c r="E495" s="3" t="s">
        <v>6</v>
      </c>
      <c r="F495" t="s">
        <v>116</v>
      </c>
      <c r="G495" t="s">
        <v>422</v>
      </c>
      <c r="K495" t="str" cm="1">
        <f t="array" ref="K495">IF(_xlfn.XLOOKUP(TRIM(A495),TRIM('Espai x esquema'!$A:$A),'Espai x esquema'!$E:$E,"",0)="Sí, però",
   "Sí",
   _xlfn.XLOOKUP(TRIM(A495),TRIM('Espai x esquema'!$A:$A),'Espai x esquema'!$E:$E,"",0))</f>
        <v>Sí</v>
      </c>
    </row>
    <row r="496" spans="1:11">
      <c r="A496" t="s">
        <v>592</v>
      </c>
      <c r="B496" t="s">
        <v>999</v>
      </c>
      <c r="C496">
        <v>80</v>
      </c>
      <c r="D496">
        <v>7.8125E-2</v>
      </c>
      <c r="E496" s="3" t="s">
        <v>6</v>
      </c>
      <c r="F496" t="s">
        <v>116</v>
      </c>
      <c r="G496" t="s">
        <v>422</v>
      </c>
      <c r="K496" t="str" cm="1">
        <f t="array" ref="K496">IF(_xlfn.XLOOKUP(TRIM(A496),TRIM('Espai x esquema'!$A:$A),'Espai x esquema'!$E:$E,"",0)="Sí, però",
   "Sí",
   _xlfn.XLOOKUP(TRIM(A496),TRIM('Espai x esquema'!$A:$A),'Espai x esquema'!$E:$E,"",0))</f>
        <v>No</v>
      </c>
    </row>
    <row r="497" spans="1:11">
      <c r="A497" t="s">
        <v>505</v>
      </c>
      <c r="B497" t="s">
        <v>1000</v>
      </c>
      <c r="C497">
        <v>80</v>
      </c>
      <c r="D497">
        <v>7.8125E-2</v>
      </c>
      <c r="E497" s="3" t="s">
        <v>6</v>
      </c>
      <c r="F497" t="s">
        <v>116</v>
      </c>
      <c r="G497" t="s">
        <v>422</v>
      </c>
      <c r="K497" t="str" cm="1">
        <f t="array" ref="K497">IF(_xlfn.XLOOKUP(TRIM(A497),TRIM('Espai x esquema'!$A:$A),'Espai x esquema'!$E:$E,"",0)="Sí, però",
   "Sí",
   _xlfn.XLOOKUP(TRIM(A497),TRIM('Espai x esquema'!$A:$A),'Espai x esquema'!$E:$E,"",0))</f>
        <v>No</v>
      </c>
    </row>
    <row r="498" spans="1:11">
      <c r="A498" t="s">
        <v>436</v>
      </c>
      <c r="B498" t="s">
        <v>1001</v>
      </c>
      <c r="C498">
        <v>80</v>
      </c>
      <c r="D498">
        <v>7.8125E-2</v>
      </c>
      <c r="E498" s="3" t="s">
        <v>6</v>
      </c>
      <c r="F498" t="s">
        <v>116</v>
      </c>
      <c r="G498" t="s">
        <v>422</v>
      </c>
      <c r="H498" t="s">
        <v>504</v>
      </c>
      <c r="K498" t="str" cm="1">
        <f t="array" ref="K498">IF(_xlfn.XLOOKUP(TRIM(A498),TRIM('Espai x esquema'!$A:$A),'Espai x esquema'!$E:$E,"",0)="Sí, però",
   "Sí",
   _xlfn.XLOOKUP(TRIM(A498),TRIM('Espai x esquema'!$A:$A),'Espai x esquema'!$E:$E,"",0))</f>
        <v>No</v>
      </c>
    </row>
    <row r="499" spans="1:11">
      <c r="A499" t="s">
        <v>436</v>
      </c>
      <c r="B499" t="s">
        <v>1002</v>
      </c>
      <c r="C499">
        <v>80</v>
      </c>
      <c r="D499">
        <v>7.8125E-2</v>
      </c>
      <c r="E499" s="3" t="s">
        <v>6</v>
      </c>
      <c r="F499" t="s">
        <v>116</v>
      </c>
      <c r="G499" t="s">
        <v>422</v>
      </c>
      <c r="K499" t="str" cm="1">
        <f t="array" ref="K499">IF(_xlfn.XLOOKUP(TRIM(A499),TRIM('Espai x esquema'!$A:$A),'Espai x esquema'!$E:$E,"",0)="Sí, però",
   "Sí",
   _xlfn.XLOOKUP(TRIM(A499),TRIM('Espai x esquema'!$A:$A),'Espai x esquema'!$E:$E,"",0))</f>
        <v>No</v>
      </c>
    </row>
    <row r="500" spans="1:11">
      <c r="A500" t="s">
        <v>1003</v>
      </c>
      <c r="B500" t="s">
        <v>1004</v>
      </c>
      <c r="C500">
        <v>80</v>
      </c>
      <c r="D500">
        <f>new_212__3[[#This Row],[MBYTES]]/1024</f>
        <v>7.8125E-2</v>
      </c>
      <c r="E500" s="3" t="s">
        <v>6</v>
      </c>
      <c r="F500" t="s">
        <v>159</v>
      </c>
      <c r="G500" t="s">
        <v>668</v>
      </c>
      <c r="K500" t="str" cm="1">
        <f t="array" ref="K500">IF(_xlfn.XLOOKUP(TRIM(A500),TRIM('Espai x esquema'!$A:$A),'Espai x esquema'!$E:$E,"",0)="Sí, però",
   "Sí",
   _xlfn.XLOOKUP(TRIM(A500),TRIM('Espai x esquema'!$A:$A),'Espai x esquema'!$E:$E,"",0))</f>
        <v>No</v>
      </c>
    </row>
    <row r="501" spans="1:11">
      <c r="A501" t="s">
        <v>965</v>
      </c>
      <c r="B501" t="s">
        <v>1005</v>
      </c>
      <c r="C501">
        <v>80</v>
      </c>
      <c r="D501">
        <f>new_212__3[[#This Row],[MBYTES]]/1024</f>
        <v>7.8125E-2</v>
      </c>
      <c r="E501" s="3" t="s">
        <v>6</v>
      </c>
      <c r="F501" t="s">
        <v>84</v>
      </c>
      <c r="G501" t="s">
        <v>428</v>
      </c>
      <c r="K501" t="str" cm="1">
        <f t="array" ref="K501">IF(_xlfn.XLOOKUP(TRIM(A501),TRIM('Espai x esquema'!$A:$A),'Espai x esquema'!$E:$E,"",0)="Sí, però",
   "Sí",
   _xlfn.XLOOKUP(TRIM(A501),TRIM('Espai x esquema'!$A:$A),'Espai x esquema'!$E:$E,"",0))</f>
        <v>Sí</v>
      </c>
    </row>
    <row r="502" spans="1:11">
      <c r="A502" t="s">
        <v>528</v>
      </c>
      <c r="B502" t="s">
        <v>1006</v>
      </c>
      <c r="C502">
        <v>80</v>
      </c>
      <c r="D502">
        <f>new_212__3[[#This Row],[MBYTES]]/1024</f>
        <v>7.8125E-2</v>
      </c>
      <c r="E502" s="3" t="s">
        <v>6</v>
      </c>
      <c r="F502" t="s">
        <v>84</v>
      </c>
      <c r="G502" t="s">
        <v>428</v>
      </c>
      <c r="K502" t="str" cm="1">
        <f t="array" ref="K502">IF(_xlfn.XLOOKUP(TRIM(A502),TRIM('Espai x esquema'!$A:$A),'Espai x esquema'!$E:$E,"",0)="Sí, però",
   "Sí",
   _xlfn.XLOOKUP(TRIM(A502),TRIM('Espai x esquema'!$A:$A),'Espai x esquema'!$E:$E,"",0))</f>
        <v>No</v>
      </c>
    </row>
    <row r="503" spans="1:11">
      <c r="A503" t="s">
        <v>548</v>
      </c>
      <c r="B503" t="s">
        <v>1007</v>
      </c>
      <c r="C503">
        <v>80</v>
      </c>
      <c r="D503">
        <f>new_212__3[[#This Row],[MBYTES]]/1024</f>
        <v>7.8125E-2</v>
      </c>
      <c r="E503" s="3" t="s">
        <v>6</v>
      </c>
      <c r="F503" t="s">
        <v>84</v>
      </c>
      <c r="G503" t="s">
        <v>550</v>
      </c>
      <c r="K503" t="str" cm="1">
        <f t="array" ref="K503">IF(_xlfn.XLOOKUP(TRIM(A503),TRIM('Espai x esquema'!$A:$A),'Espai x esquema'!$E:$E,"",0)="Sí, però",
   "Sí",
   _xlfn.XLOOKUP(TRIM(A503),TRIM('Espai x esquema'!$A:$A),'Espai x esquema'!$E:$E,"",0))</f>
        <v>No</v>
      </c>
    </row>
    <row r="504" spans="1:11">
      <c r="A504" t="s">
        <v>26</v>
      </c>
      <c r="B504" t="s">
        <v>1008</v>
      </c>
      <c r="C504">
        <v>80</v>
      </c>
      <c r="D504">
        <f>new_212__3[[#This Row],[MBYTES]]/1024</f>
        <v>7.8125E-2</v>
      </c>
      <c r="E504" s="3" t="s">
        <v>8</v>
      </c>
      <c r="F504" t="s">
        <v>84</v>
      </c>
      <c r="G504" t="s">
        <v>582</v>
      </c>
      <c r="J504" t="s">
        <v>15</v>
      </c>
      <c r="K504" t="str" cm="1">
        <f t="array" ref="K504">IF(_xlfn.XLOOKUP(TRIM(A504),TRIM('Espai x esquema'!$A:$A),'Espai x esquema'!$E:$E,"",0)="Sí, però",
   "Sí",
   _xlfn.XLOOKUP(TRIM(A504),TRIM('Espai x esquema'!$A:$A),'Espai x esquema'!$E:$E,"",0))</f>
        <v>No</v>
      </c>
    </row>
    <row r="505" spans="1:11">
      <c r="A505" t="s">
        <v>28</v>
      </c>
      <c r="B505" t="s">
        <v>1009</v>
      </c>
      <c r="C505">
        <v>80</v>
      </c>
      <c r="D505">
        <f>new_212__3[[#This Row],[MBYTES]]/1024</f>
        <v>7.8125E-2</v>
      </c>
      <c r="E505" s="3" t="s">
        <v>8</v>
      </c>
      <c r="F505" t="s">
        <v>84</v>
      </c>
      <c r="G505" t="s">
        <v>706</v>
      </c>
      <c r="J505" t="s">
        <v>15</v>
      </c>
      <c r="K505" t="str" cm="1">
        <f t="array" ref="K505">IF(_xlfn.XLOOKUP(TRIM(A505),TRIM('Espai x esquema'!$A:$A),'Espai x esquema'!$E:$E,"",0)="Sí, però",
   "Sí",
   _xlfn.XLOOKUP(TRIM(A505),TRIM('Espai x esquema'!$A:$A),'Espai x esquema'!$E:$E,"",0))</f>
        <v>Sí</v>
      </c>
    </row>
    <row r="506" spans="1:11">
      <c r="A506" t="s">
        <v>801</v>
      </c>
      <c r="B506" t="s">
        <v>1010</v>
      </c>
      <c r="C506">
        <v>80</v>
      </c>
      <c r="D506">
        <f>new_212__3[[#This Row],[MBYTES]]/1024</f>
        <v>7.8125E-2</v>
      </c>
      <c r="E506" s="3" t="s">
        <v>6</v>
      </c>
      <c r="F506" t="s">
        <v>84</v>
      </c>
      <c r="G506" t="s">
        <v>417</v>
      </c>
      <c r="K506" t="str" cm="1">
        <f t="array" ref="K506">IF(_xlfn.XLOOKUP(TRIM(A506),TRIM('Espai x esquema'!$A:$A),'Espai x esquema'!$E:$E,"",0)="Sí, però",
   "Sí",
   _xlfn.XLOOKUP(TRIM(A506),TRIM('Espai x esquema'!$A:$A),'Espai x esquema'!$E:$E,"",0))</f>
        <v>No</v>
      </c>
    </row>
    <row r="507" spans="1:11">
      <c r="A507" t="s">
        <v>485</v>
      </c>
      <c r="B507" t="s">
        <v>1011</v>
      </c>
      <c r="C507">
        <v>80</v>
      </c>
      <c r="D507">
        <f>new_212__3[[#This Row],[MBYTES]]/1024</f>
        <v>7.8125E-2</v>
      </c>
      <c r="E507" s="3" t="s">
        <v>6</v>
      </c>
      <c r="F507" t="s">
        <v>84</v>
      </c>
      <c r="K507" t="str" cm="1">
        <f t="array" ref="K507">IF(_xlfn.XLOOKUP(TRIM(A507),TRIM('Espai x esquema'!$A:$A),'Espai x esquema'!$E:$E,"",0)="Sí, però",
   "Sí",
   _xlfn.XLOOKUP(TRIM(A507),TRIM('Espai x esquema'!$A:$A),'Espai x esquema'!$E:$E,"",0))</f>
        <v>No</v>
      </c>
    </row>
    <row r="508" spans="1:11">
      <c r="A508" t="s">
        <v>485</v>
      </c>
      <c r="B508" t="s">
        <v>1012</v>
      </c>
      <c r="C508">
        <v>80</v>
      </c>
      <c r="D508">
        <f>new_212__3[[#This Row],[MBYTES]]/1024</f>
        <v>7.8125E-2</v>
      </c>
      <c r="E508" s="3" t="s">
        <v>6</v>
      </c>
      <c r="F508" t="s">
        <v>84</v>
      </c>
      <c r="K508" t="str" cm="1">
        <f t="array" ref="K508">IF(_xlfn.XLOOKUP(TRIM(A508),TRIM('Espai x esquema'!$A:$A),'Espai x esquema'!$E:$E,"",0)="Sí, però",
   "Sí",
   _xlfn.XLOOKUP(TRIM(A508),TRIM('Espai x esquema'!$A:$A),'Espai x esquema'!$E:$E,"",0))</f>
        <v>No</v>
      </c>
    </row>
    <row r="509" spans="1:11">
      <c r="A509" t="s">
        <v>415</v>
      </c>
      <c r="B509" t="s">
        <v>1013</v>
      </c>
      <c r="C509">
        <v>80</v>
      </c>
      <c r="D509">
        <f>new_212__3[[#This Row],[MBYTES]]/1024</f>
        <v>7.8125E-2</v>
      </c>
      <c r="E509" s="3" t="s">
        <v>6</v>
      </c>
      <c r="F509" t="s">
        <v>84</v>
      </c>
      <c r="G509" t="s">
        <v>428</v>
      </c>
      <c r="K509" t="str" cm="1">
        <f t="array" ref="K509">IF(_xlfn.XLOOKUP(TRIM(A509),TRIM('Espai x esquema'!$A:$A),'Espai x esquema'!$E:$E,"",0)="Sí, però",
   "Sí",
   _xlfn.XLOOKUP(TRIM(A509),TRIM('Espai x esquema'!$A:$A),'Espai x esquema'!$E:$E,"",0))</f>
        <v>No</v>
      </c>
    </row>
    <row r="510" spans="1:11">
      <c r="A510" t="s">
        <v>507</v>
      </c>
      <c r="B510" t="s">
        <v>925</v>
      </c>
      <c r="C510">
        <v>80</v>
      </c>
      <c r="D510">
        <f>new_212__3[[#This Row],[MBYTES]]/1024</f>
        <v>7.8125E-2</v>
      </c>
      <c r="E510" s="3" t="s">
        <v>6</v>
      </c>
      <c r="F510" t="s">
        <v>84</v>
      </c>
      <c r="G510" t="s">
        <v>428</v>
      </c>
      <c r="K510" t="str" cm="1">
        <f t="array" ref="K510">IF(_xlfn.XLOOKUP(TRIM(A510),TRIM('Espai x esquema'!$A:$A),'Espai x esquema'!$E:$E,"",0)="Sí, però",
   "Sí",
   _xlfn.XLOOKUP(TRIM(A510),TRIM('Espai x esquema'!$A:$A),'Espai x esquema'!$E:$E,"",0))</f>
        <v>No</v>
      </c>
    </row>
    <row r="511" spans="1:11">
      <c r="A511" t="s">
        <v>507</v>
      </c>
      <c r="B511" t="s">
        <v>1014</v>
      </c>
      <c r="C511">
        <v>80</v>
      </c>
      <c r="D511">
        <f>new_212__3[[#This Row],[MBYTES]]/1024</f>
        <v>7.8125E-2</v>
      </c>
      <c r="E511" s="3" t="s">
        <v>6</v>
      </c>
      <c r="F511" t="s">
        <v>84</v>
      </c>
      <c r="G511" t="s">
        <v>428</v>
      </c>
      <c r="K511" t="str" cm="1">
        <f t="array" ref="K511">IF(_xlfn.XLOOKUP(TRIM(A511),TRIM('Espai x esquema'!$A:$A),'Espai x esquema'!$E:$E,"",0)="Sí, però",
   "Sí",
   _xlfn.XLOOKUP(TRIM(A511),TRIM('Espai x esquema'!$A:$A),'Espai x esquema'!$E:$E,"",0))</f>
        <v>No</v>
      </c>
    </row>
    <row r="512" spans="1:11">
      <c r="A512" t="s">
        <v>54</v>
      </c>
      <c r="B512" t="s">
        <v>756</v>
      </c>
      <c r="C512">
        <v>80</v>
      </c>
      <c r="D512">
        <f>new_212__3[[#This Row],[MBYTES]]/1024</f>
        <v>7.8125E-2</v>
      </c>
      <c r="E512" s="3" t="s">
        <v>8</v>
      </c>
      <c r="F512" t="s">
        <v>84</v>
      </c>
      <c r="G512" t="s">
        <v>613</v>
      </c>
      <c r="H512" t="s">
        <v>614</v>
      </c>
      <c r="J512" t="s">
        <v>50</v>
      </c>
      <c r="K512" t="str" cm="1">
        <f t="array" ref="K512">IF(_xlfn.XLOOKUP(TRIM(A512),TRIM('Espai x esquema'!$A:$A),'Espai x esquema'!$E:$E,"",0)="Sí, però",
   "Sí",
   _xlfn.XLOOKUP(TRIM(A512),TRIM('Espai x esquema'!$A:$A),'Espai x esquema'!$E:$E,"",0))</f>
        <v>Sí</v>
      </c>
    </row>
    <row r="513" spans="1:11">
      <c r="A513" t="s">
        <v>54</v>
      </c>
      <c r="B513" t="s">
        <v>750</v>
      </c>
      <c r="C513">
        <v>80</v>
      </c>
      <c r="D513">
        <f>new_212__3[[#This Row],[MBYTES]]/1024</f>
        <v>7.8125E-2</v>
      </c>
      <c r="E513" s="3" t="s">
        <v>8</v>
      </c>
      <c r="F513" t="s">
        <v>84</v>
      </c>
      <c r="G513" t="s">
        <v>613</v>
      </c>
      <c r="H513" t="s">
        <v>614</v>
      </c>
      <c r="J513" t="s">
        <v>50</v>
      </c>
      <c r="K513" t="str" cm="1">
        <f t="array" ref="K513">IF(_xlfn.XLOOKUP(TRIM(A513),TRIM('Espai x esquema'!$A:$A),'Espai x esquema'!$E:$E,"",0)="Sí, però",
   "Sí",
   _xlfn.XLOOKUP(TRIM(A513),TRIM('Espai x esquema'!$A:$A),'Espai x esquema'!$E:$E,"",0))</f>
        <v>Sí</v>
      </c>
    </row>
    <row r="514" spans="1:11">
      <c r="A514" t="s">
        <v>1015</v>
      </c>
      <c r="B514" t="s">
        <v>1016</v>
      </c>
      <c r="C514">
        <v>80</v>
      </c>
      <c r="D514">
        <f>new_212__3[[#This Row],[MBYTES]]/1024</f>
        <v>7.8125E-2</v>
      </c>
      <c r="E514" s="3" t="s">
        <v>5</v>
      </c>
      <c r="K514" t="str" cm="1">
        <f t="array" ref="K514">IF(_xlfn.XLOOKUP(TRIM(A514),TRIM('Espai x esquema'!$A:$A),'Espai x esquema'!$E:$E,"",0)="Sí, però",
   "Sí",
   _xlfn.XLOOKUP(TRIM(A514),TRIM('Espai x esquema'!$A:$A),'Espai x esquema'!$E:$E,"",0))</f>
        <v>??</v>
      </c>
    </row>
    <row r="515" spans="1:11">
      <c r="A515" t="s">
        <v>922</v>
      </c>
      <c r="B515" t="s">
        <v>1017</v>
      </c>
      <c r="C515">
        <v>80</v>
      </c>
      <c r="D515">
        <f>new_212__3[[#This Row],[MBYTES]]/1024</f>
        <v>7.8125E-2</v>
      </c>
      <c r="E515" s="3" t="s">
        <v>196</v>
      </c>
      <c r="F515" t="s">
        <v>84</v>
      </c>
      <c r="G515" t="s">
        <v>422</v>
      </c>
      <c r="K515" t="str" cm="1">
        <f t="array" ref="K515">IF(_xlfn.XLOOKUP(TRIM(A515),TRIM('Espai x esquema'!$A:$A),'Espai x esquema'!$E:$E,"",0)="Sí, però",
   "Sí",
   _xlfn.XLOOKUP(TRIM(A515),TRIM('Espai x esquema'!$A:$A),'Espai x esquema'!$E:$E,"",0))</f>
        <v>No</v>
      </c>
    </row>
    <row r="516" spans="1:11">
      <c r="A516" t="s">
        <v>1018</v>
      </c>
      <c r="B516" t="s">
        <v>1019</v>
      </c>
      <c r="C516">
        <v>80</v>
      </c>
      <c r="D516">
        <f>new_212__3[[#This Row],[MBYTES]]/1024</f>
        <v>7.8125E-2</v>
      </c>
      <c r="E516" s="3" t="s">
        <v>5</v>
      </c>
      <c r="K516" t="str" cm="1">
        <f t="array" ref="K516">IF(_xlfn.XLOOKUP(TRIM(A516),TRIM('Espai x esquema'!$A:$A),'Espai x esquema'!$E:$E,"",0)="Sí, però",
   "Sí",
   _xlfn.XLOOKUP(TRIM(A516),TRIM('Espai x esquema'!$A:$A),'Espai x esquema'!$E:$E,"",0))</f>
        <v>??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2324E84315094FA8242983A91A2597" ma:contentTypeVersion="10" ma:contentTypeDescription="Crea un document nou" ma:contentTypeScope="" ma:versionID="b55df530c21b1e98dbd6b0bea553680f">
  <xsd:schema xmlns:xsd="http://www.w3.org/2001/XMLSchema" xmlns:xs="http://www.w3.org/2001/XMLSchema" xmlns:p="http://schemas.microsoft.com/office/2006/metadata/properties" xmlns:ns2="f52977b3-34c3-4bf2-94c8-e861d201566a" xmlns:ns3="75e0ed83-d76d-4d03-b48c-5ab428f32376" targetNamespace="http://schemas.microsoft.com/office/2006/metadata/properties" ma:root="true" ma:fieldsID="3fae67fae66bddc29c5f6fec3be09f35" ns2:_="" ns3:_="">
    <xsd:import namespace="f52977b3-34c3-4bf2-94c8-e861d201566a"/>
    <xsd:import namespace="75e0ed83-d76d-4d03-b48c-5ab428f32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2977b3-34c3-4bf2-94c8-e861d20156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0ed83-d76d-4d03-b48c-5ab428f3237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ECD365-AC56-4E6A-AF87-7A1262F7BFFE}"/>
</file>

<file path=customXml/itemProps2.xml><?xml version="1.0" encoding="utf-8"?>
<ds:datastoreItem xmlns:ds="http://schemas.openxmlformats.org/officeDocument/2006/customXml" ds:itemID="{6D14585E-18A6-4CD8-8C73-4C49951BBE81}"/>
</file>

<file path=customXml/itemProps3.xml><?xml version="1.0" encoding="utf-8"?>
<ds:datastoreItem xmlns:ds="http://schemas.openxmlformats.org/officeDocument/2006/customXml" ds:itemID="{ADD4788B-8D1A-4BA5-8930-9FBF19C88772}"/>
</file>

<file path=customXml/itemProps4.xml><?xml version="1.0" encoding="utf-8"?>
<ds:datastoreItem xmlns:ds="http://schemas.openxmlformats.org/officeDocument/2006/customXml" ds:itemID="{383A21F8-7BB8-40D0-B265-694BF77269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Generalitat de Catalunya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Muñoz Campos, Francisco Javier</dc:creator>
  <cp:keywords/>
  <dc:description/>
  <cp:lastModifiedBy>Mendez Fernandez, Oscar</cp:lastModifiedBy>
  <cp:revision/>
  <dcterms:created xsi:type="dcterms:W3CDTF">2025-02-10T08:15:17Z</dcterms:created>
  <dcterms:modified xsi:type="dcterms:W3CDTF">2025-10-24T12:13:59Z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0x010100732324E84315094FA8242983A91A2597</vt:lpwstr>
  </property>
</Properties>
</file>